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ES_FIJOS" sheetId="1" r:id="rId5"/>
    <sheet state="visible" name="COSTES_VARIABLES" sheetId="2" r:id="rId6"/>
    <sheet state="visible" name="GASTOS_DE_PUESTA_EN_MARCHA" sheetId="3" r:id="rId7"/>
    <sheet state="visible" name="INVERSIÓN_EN_INMOVILIZADO" sheetId="4" r:id="rId8"/>
    <sheet state="visible" name="PLAN_DE_INVERSIÓN_FINANCIACIÓN" sheetId="5" r:id="rId9"/>
    <sheet state="visible" name="INGRESOS" sheetId="6" r:id="rId10"/>
    <sheet state="visible" name="CUENTA_DE_RESULTADOS_o_PyG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Esta cantidad irá a la Cuenta de Resultados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Esta cantidad irá al Plan de inversión, pero no a la cuenta de Resultados ya que no formaría parte de la actividad de la empresa.</t>
      </text>
    </comment>
    <comment authorId="0" ref="C16">
      <text>
        <t xml:space="preserve">Esta cantidad irá al Plan de inversión y también a la Cuenta de Resultados ya que sí ayudará a la actividad comercial de la empresa.</t>
      </text>
    </comment>
    <comment authorId="0" ref="C19">
      <text>
        <t xml:space="preserve">Esta cantidad irá al Plan de inversión y también a la Cuenta de Resultados ya que sí ayudará a la actividad comercial de la empresa.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Esta cantidad irá al Plan de inversión porque necesitamos comprarlo al inicio de la actividad.</t>
      </text>
    </comment>
    <comment authorId="0" ref="E7">
      <text>
        <t xml:space="preserve">Esta cantidad irá a la Cuenta de Resultados
porque distribuimos el gasto entre varios años en función de la amortización.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La suma de resursos propios y ajenos debe ser igual a la inversión necesaria. 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8">
      <text>
        <t xml:space="preserve">Esta cantidad irá a la Cuenta de Resultados como ingresos.
</t>
      </text>
    </comment>
    <comment authorId="0" ref="AF8">
      <text>
        <t xml:space="preserve">Esta cantidad irá a la Cuenta de Resultados como ingresos.
</t>
      </text>
    </comment>
    <comment authorId="0" ref="P9">
      <text>
        <t xml:space="preserve">Esta cantidad deberemos tenerla en cuenta para el pago de impuestos, liquidación de IVA: IVA Soportado - IVA Repercutido
</t>
      </text>
    </comment>
    <comment authorId="0" ref="AF9">
      <text>
        <t xml:space="preserve">Esta cantidad deberemos tenerla en cuenta para el pago de impuestos, liquidación de IVA: IVA Soportado - IVA Repercutido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5">
      <text>
        <t xml:space="preserve">En este año ya debemos pagar el tipo general del 25%</t>
      </text>
    </comment>
    <comment authorId="0" ref="D29">
      <text>
        <t xml:space="preserve">En este primer año reinvertimos el 100% de los beneficios en la empresa.
</t>
      </text>
    </comment>
    <comment authorId="0" ref="F29">
      <text>
        <t xml:space="preserve">
Este segundo año y el tercero
 cambiamos el porcentaje de reinversión. Los socios se repartirán parte de los beneficios.</t>
      </text>
    </comment>
  </commentList>
</comments>
</file>

<file path=xl/sharedStrings.xml><?xml version="1.0" encoding="utf-8"?>
<sst xmlns="http://schemas.openxmlformats.org/spreadsheetml/2006/main" count="121" uniqueCount="98">
  <si>
    <t>COSTES DE PERSONAL</t>
  </si>
  <si>
    <t>DATOS MENSUALES</t>
  </si>
  <si>
    <t xml:space="preserve">TOTALES AÑO </t>
  </si>
  <si>
    <t>Salario socio 1/ media jornada</t>
  </si>
  <si>
    <t>Salario socio 2/ media jornada</t>
  </si>
  <si>
    <t>Salario socio 3/ media jornada</t>
  </si>
  <si>
    <t>Salario socio 4/ media jornada</t>
  </si>
  <si>
    <t>Total salarios socios</t>
  </si>
  <si>
    <t>Coste autónomos (tarifa plana)</t>
  </si>
  <si>
    <t>TOTAL GASTOS DE PERSONAL</t>
  </si>
  <si>
    <t>OTROS COSTES</t>
  </si>
  <si>
    <t>AWS</t>
  </si>
  <si>
    <t>Gestoría de autónomos</t>
  </si>
  <si>
    <t>Mantenimiento</t>
  </si>
  <si>
    <t>TOTAL OTROS COSTES</t>
  </si>
  <si>
    <t>TOTAL COSTES FIJOS (personal + otros costes)</t>
  </si>
  <si>
    <t>PRODUCTO / SERVICIO</t>
  </si>
  <si>
    <t>UNIDADES</t>
  </si>
  <si>
    <t>COSTE/PRECIO/ medio unidad</t>
  </si>
  <si>
    <t>Comisión Pasarela (Stripe)</t>
  </si>
  <si>
    <t>Publicidad/Captación (Ads)</t>
  </si>
  <si>
    <t>Soporte/Servidor extra</t>
  </si>
  <si>
    <t>TOTAL COSTES VARIABLES PRODUCTO 1</t>
  </si>
  <si>
    <t>TOTAL COSTES VARIABLES</t>
  </si>
  <si>
    <t>GASTOS INICIALES O DE CONSITUCIÓN</t>
  </si>
  <si>
    <t>IMPORTE</t>
  </si>
  <si>
    <t>Notaría</t>
  </si>
  <si>
    <t>Honorarios Asesor/Gestoría</t>
  </si>
  <si>
    <t>Registro mercantil</t>
  </si>
  <si>
    <t>TOTALES GASTOS INICIALES</t>
  </si>
  <si>
    <t>GASTOS DE LANZAMIENTO</t>
  </si>
  <si>
    <t>Desarrollo de página web</t>
  </si>
  <si>
    <t>Diseño de marca / Logo</t>
  </si>
  <si>
    <t>Campaña de lanzamiento</t>
  </si>
  <si>
    <t>TOTALES GASTOS DE LANZAMIENTO</t>
  </si>
  <si>
    <t>GASTOS TOTAL DE PUESTA EN MARCHA</t>
  </si>
  <si>
    <t>COMPRAS DE INMOVILIZADO</t>
  </si>
  <si>
    <t>Nº DE AÑOS</t>
  </si>
  <si>
    <t>DOTACIÓN AMORTIZACIÓN ANUAL</t>
  </si>
  <si>
    <t>DOTACIÓN AMORTIZACIÓN MENSUAL</t>
  </si>
  <si>
    <t>TOTALES</t>
  </si>
  <si>
    <t>COSTE / GASTO / INVERSIÓN</t>
  </si>
  <si>
    <t>GASTO ÚNICO</t>
  </si>
  <si>
    <t>GASTO EN 4 MESES</t>
  </si>
  <si>
    <t>COSTES FIJOS</t>
  </si>
  <si>
    <t>COSTES VARIABLES</t>
  </si>
  <si>
    <t>GASTOS DE PUESTA EN MARCHA</t>
  </si>
  <si>
    <t>INMOVILIZADO</t>
  </si>
  <si>
    <t>TOTAL INVERSIÓN NECESARIA</t>
  </si>
  <si>
    <t>FINANCIACIÓN</t>
  </si>
  <si>
    <t>RECURSOS PROPIOS</t>
  </si>
  <si>
    <t>TOTAL FINANCIACIÓN</t>
  </si>
  <si>
    <t>AÑO 1</t>
  </si>
  <si>
    <t>AÑO 2</t>
  </si>
  <si>
    <t>VENTAS E INGRESOS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</si>
  <si>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</si>
  <si>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</si>
  <si>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</si>
  <si>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</si>
  <si>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</si>
  <si>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</si>
  <si>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</si>
  <si>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</si>
  <si>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</si>
  <si>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</si>
  <si>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</si>
  <si>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</si>
  <si>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 AÑO 1</t>
  </si>
  <si>
    <t>MEDIAS MENSUALES</t>
  </si>
  <si>
    <t>TOTAL AÑO 2</t>
  </si>
  <si>
    <t>PRODUCTO / SERVICIO 1</t>
  </si>
  <si>
    <t>UNIDADES VENDIDAS</t>
  </si>
  <si>
    <t>Suscripción Anual Web</t>
  </si>
  <si>
    <t>PRECIO MEDIO SIN IVA</t>
  </si>
  <si>
    <t>TOTAL VENTAS PRODUCTO 1</t>
  </si>
  <si>
    <t>TOTAL INGRESOS SIN IVA</t>
  </si>
  <si>
    <t>IMPORTE IVA 21%</t>
  </si>
  <si>
    <t>TOTAL INGRESOS CON IVA</t>
  </si>
  <si>
    <t xml:space="preserve">PREVISIÓN ECONÓMICO-FINANCIERA "ESTEL" </t>
  </si>
  <si>
    <t>CUENTA DE RESULTADOS</t>
  </si>
  <si>
    <t>PREVISIÓN AÑO 1</t>
  </si>
  <si>
    <t>PREVISIÓN AÑO 2</t>
  </si>
  <si>
    <t>PREVISIÓN AÑO 3</t>
  </si>
  <si>
    <t>INGRESOS TOTALES</t>
  </si>
  <si>
    <t>Ingresos por Suscripción Anual Web</t>
  </si>
  <si>
    <t>GASTOS TOTALES</t>
  </si>
  <si>
    <t>Costes fijos</t>
  </si>
  <si>
    <t>Costes variables</t>
  </si>
  <si>
    <t>Gastos de puesta en marcha</t>
  </si>
  <si>
    <t>BENEFICIO ANTES DE IMPUESTOS, AMORTIZACIONES Y GASTOS FINANCIEROS (EBITDA)</t>
  </si>
  <si>
    <t>AMORTIZACIONES</t>
  </si>
  <si>
    <t>BENEFICIO ANTES DE IMPUESTOS Y GASTOS FINANCIEROS (EBIT)</t>
  </si>
  <si>
    <t>GASTOS FINANCIEROS</t>
  </si>
  <si>
    <t>BENEFICIO ANTES DE IMPUESTOS</t>
  </si>
  <si>
    <t>PAGOS A CUENTA IRPF (MODELO 130)</t>
  </si>
  <si>
    <t>EXCEDENTE NETO DISPONIBLE</t>
  </si>
  <si>
    <t xml:space="preserve">REINVERSIÓN EN LA EMPRESA </t>
  </si>
  <si>
    <t>REPARTO DE BENEFICIOS ENTRE LOS SOCIOS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</si>
</sst>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 * #,##0.00\ ;\-* #,##0.00\ ;\ * \-#\ ;\ @\ "/>
    <numFmt numFmtId="165" formatCode="#,##0.00\ [$€]"/>
    <numFmt numFmtId="166" formatCode="* #,##0.00\ [$€]\ ;\-* #,##0.00\ [$€]\ ;* \-#\ [$€]\ ;\ @\ "/>
    <numFmt numFmtId="167" formatCode="0.000"/>
  </numFmts>
  <fonts count="14">
    <font>
      <sz val="12.0"/>
      <color rgb="FF000000"/>
      <name val="Aptos Narrow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0000FF"/>
      <name val="Calibri"/>
    </font>
    <font>
      <sz val="10.0"/>
      <color rgb="FF000000"/>
      <name val="Calibri"/>
    </font>
    <font>
      <b/>
      <sz val="14.0"/>
      <color rgb="FF3C7D22"/>
      <name val="Calibri"/>
    </font>
    <font>
      <b/>
      <sz val="14.0"/>
      <color rgb="FF000000"/>
      <name val="Calibri"/>
    </font>
    <font>
      <sz val="12.0"/>
      <color rgb="FF000000"/>
      <name val="Aptos Narrow"/>
    </font>
    <font>
      <b/>
      <sz val="14.0"/>
      <color rgb="FF000000"/>
      <name val="Aptos Narrow"/>
    </font>
    <font>
      <b/>
      <sz val="12.0"/>
      <color rgb="FF000000"/>
      <name val="Aptos Narrow"/>
    </font>
    <font>
      <b/>
      <sz val="14.0"/>
      <color rgb="FF4EA72E"/>
      <name val="Calibri"/>
    </font>
    <font>
      <sz val="14.0"/>
      <color rgb="FF000000"/>
      <name val="Calibri"/>
    </font>
    <font/>
    <font>
      <i/>
      <sz val="14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/>
      <bottom/>
    </border>
    <border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2" fillId="0" fontId="5" numFmtId="4" xfId="0" applyAlignment="1" applyBorder="1" applyFont="1" applyNumberFormat="1">
      <alignment horizontal="center" shrinkToFit="0" vertical="bottom" wrapText="0"/>
    </xf>
    <xf borderId="3" fillId="0" fontId="5" numFmtId="164" xfId="0" applyAlignment="1" applyBorder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4" fillId="2" fontId="2" numFmtId="0" xfId="0" applyAlignment="1" applyBorder="1" applyFill="1" applyFont="1">
      <alignment horizontal="left" shrinkToFit="0" vertical="bottom" wrapText="0"/>
    </xf>
    <xf borderId="5" fillId="2" fontId="1" numFmtId="165" xfId="0" applyAlignment="1" applyBorder="1" applyFont="1" applyNumberFormat="1">
      <alignment shrinkToFit="0" vertical="bottom" wrapText="0"/>
    </xf>
    <xf borderId="6" fillId="2" fontId="6" numFmtId="165" xfId="0" applyAlignment="1" applyBorder="1" applyFont="1" applyNumberFormat="1">
      <alignment horizontal="right" shrinkToFit="0" vertical="bottom" wrapText="0"/>
    </xf>
    <xf borderId="4" fillId="2" fontId="2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5" fillId="2" fontId="2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2" fillId="0" fontId="5" numFmtId="0" xfId="0" applyAlignment="1" applyBorder="1" applyFont="1">
      <alignment horizontal="left" shrinkToFit="0" vertical="bottom" wrapText="1"/>
    </xf>
    <xf borderId="3" fillId="0" fontId="5" numFmtId="4" xfId="0" applyAlignment="1" applyBorder="1" applyFont="1" applyNumberFormat="1">
      <alignment horizontal="center"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4" fillId="2" fontId="6" numFmtId="0" xfId="0" applyAlignment="1" applyBorder="1" applyFont="1">
      <alignment shrinkToFit="0" vertical="bottom" wrapText="1"/>
    </xf>
    <xf borderId="5" fillId="2" fontId="6" numFmtId="0" xfId="0" applyAlignment="1" applyBorder="1" applyFont="1">
      <alignment shrinkToFit="0" vertical="bottom" wrapText="0"/>
    </xf>
    <xf borderId="6" fillId="2" fontId="6" numFmtId="165" xfId="0" applyAlignment="1" applyBorder="1" applyFont="1" applyNumberForma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5" fillId="2" fontId="9" numFmtId="0" xfId="0" applyAlignment="1" applyBorder="1" applyFont="1">
      <alignment shrinkToFit="0" vertical="bottom" wrapText="0"/>
    </xf>
    <xf borderId="7" fillId="2" fontId="8" numFmtId="165" xfId="0" applyAlignment="1" applyBorder="1" applyFont="1" applyNumberForma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3" fillId="0" fontId="10" numFmtId="0" xfId="0" applyAlignment="1" applyBorder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4" fillId="2" fontId="6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horizontal="center" shrinkToFit="0" vertical="center" wrapText="0"/>
    </xf>
    <xf borderId="8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5" fillId="2" fontId="6" numFmtId="165" xfId="0" applyAlignment="1" applyBorder="1" applyFont="1" applyNumberFormat="1">
      <alignment shrinkToFit="0" vertical="bottom" wrapText="0"/>
    </xf>
    <xf borderId="5" fillId="2" fontId="11" numFmtId="0" xfId="0" applyAlignment="1" applyBorder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5" fillId="2" fontId="6" numFmtId="166" xfId="0" applyAlignment="1" applyBorder="1" applyFont="1" applyNumberFormat="1">
      <alignment shrinkToFit="0" vertical="bottom" wrapText="0"/>
    </xf>
    <xf borderId="6" fillId="2" fontId="6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11" fillId="0" fontId="6" numFmtId="0" xfId="0" applyAlignment="1" applyBorder="1" applyFont="1">
      <alignment horizontal="center" shrinkToFit="0" vertical="bottom" wrapText="0"/>
    </xf>
    <xf borderId="12" fillId="0" fontId="12" numFmtId="0" xfId="0" applyBorder="1" applyFont="1"/>
    <xf borderId="13" fillId="0" fontId="12" numFmtId="0" xfId="0" applyBorder="1" applyFont="1"/>
    <xf borderId="14" fillId="2" fontId="6" numFmtId="0" xfId="0" applyAlignment="1" applyBorder="1" applyFont="1">
      <alignment shrinkToFit="0" vertical="bottom" wrapText="0"/>
    </xf>
    <xf borderId="15" fillId="0" fontId="6" numFmtId="0" xfId="0" applyAlignment="1" applyBorder="1" applyFont="1">
      <alignment horizontal="center" shrinkToFit="0" vertical="top" wrapText="0"/>
    </xf>
    <xf borderId="16" fillId="0" fontId="6" numFmtId="0" xfId="0" applyAlignment="1" applyBorder="1" applyFont="1">
      <alignment horizontal="center" shrinkToFit="0" vertical="top" wrapText="0"/>
    </xf>
    <xf borderId="1" fillId="0" fontId="6" numFmtId="0" xfId="0" applyAlignment="1" applyBorder="1" applyFont="1">
      <alignment horizontal="center" shrinkToFit="0" vertical="top" wrapText="0"/>
    </xf>
    <xf borderId="14" fillId="0" fontId="6" numFmtId="0" xfId="0" applyAlignment="1" applyBorder="1" applyFont="1">
      <alignment horizontal="center" shrinkToFit="0" vertical="top" wrapText="0"/>
    </xf>
    <xf borderId="17" fillId="0" fontId="6" numFmtId="0" xfId="0" applyAlignment="1" applyBorder="1" applyFont="1">
      <alignment horizontal="center" shrinkToFit="0" vertical="top" wrapText="0"/>
    </xf>
    <xf borderId="18" fillId="0" fontId="6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20" fillId="0" fontId="6" numFmtId="2" xfId="0" applyAlignment="1" applyBorder="1" applyFont="1" applyNumberFormat="1">
      <alignment shrinkToFit="0" vertical="bottom" wrapText="0"/>
    </xf>
    <xf borderId="21" fillId="0" fontId="1" numFmtId="0" xfId="0" applyAlignment="1" applyBorder="1" applyFont="1">
      <alignment shrinkToFit="0" vertical="bottom" wrapText="0"/>
    </xf>
    <xf borderId="21" fillId="0" fontId="1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20" fillId="0" fontId="6" numFmtId="167" xfId="0" applyAlignment="1" applyBorder="1" applyFont="1" applyNumberFormat="1">
      <alignment shrinkToFit="0" vertical="bottom" wrapText="0"/>
    </xf>
    <xf borderId="21" fillId="0" fontId="1" numFmtId="166" xfId="0" applyAlignment="1" applyBorder="1" applyFont="1" applyNumberFormat="1">
      <alignment shrinkToFit="0" vertical="bottom" wrapText="0"/>
    </xf>
    <xf borderId="23" fillId="0" fontId="6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5" fillId="0" fontId="1" numFmtId="166" xfId="0" applyAlignment="1" applyBorder="1" applyFont="1" applyNumberFormat="1">
      <alignment shrinkToFit="0" vertical="bottom" wrapText="0"/>
    </xf>
    <xf borderId="25" fillId="0" fontId="6" numFmtId="166" xfId="0" applyAlignment="1" applyBorder="1" applyFont="1" applyNumberFormat="1">
      <alignment shrinkToFit="0" vertical="bottom" wrapText="0"/>
    </xf>
    <xf borderId="26" fillId="0" fontId="6" numFmtId="166" xfId="0" applyAlignment="1" applyBorder="1" applyFont="1" applyNumberFormat="1">
      <alignment shrinkToFit="0" vertical="bottom" wrapText="0"/>
    </xf>
    <xf borderId="23" fillId="0" fontId="1" numFmtId="166" xfId="0" applyAlignment="1" applyBorder="1" applyFont="1" applyNumberFormat="1">
      <alignment shrinkToFit="0" vertical="bottom" wrapText="0"/>
    </xf>
    <xf borderId="5" fillId="2" fontId="1" numFmtId="166" xfId="0" applyAlignment="1" applyBorder="1" applyFont="1" applyNumberFormat="1">
      <alignment shrinkToFit="0" vertical="bottom" wrapText="0"/>
    </xf>
    <xf borderId="14" fillId="2" fontId="6" numFmtId="166" xfId="0" applyAlignment="1" applyBorder="1" applyFont="1" applyNumberFormat="1">
      <alignment shrinkToFit="0" vertical="bottom" wrapText="0"/>
    </xf>
    <xf borderId="21" fillId="0" fontId="6" numFmtId="0" xfId="0" applyAlignment="1" applyBorder="1" applyFont="1">
      <alignment shrinkToFit="0" vertical="bottom" wrapText="0"/>
    </xf>
    <xf borderId="20" fillId="0" fontId="6" numFmtId="166" xfId="0" applyAlignment="1" applyBorder="1" applyFont="1" applyNumberFormat="1">
      <alignment shrinkToFit="0" vertical="bottom" wrapText="0"/>
    </xf>
    <xf borderId="27" fillId="3" fontId="6" numFmtId="0" xfId="0" applyAlignment="1" applyBorder="1" applyFill="1" applyFont="1">
      <alignment horizontal="center" shrinkToFit="0" vertical="bottom" wrapText="0"/>
    </xf>
    <xf borderId="28" fillId="0" fontId="12" numFmtId="0" xfId="0" applyBorder="1" applyFont="1"/>
    <xf borderId="1" fillId="2" fontId="6" numFmtId="0" xfId="0" applyAlignment="1" applyBorder="1" applyFont="1">
      <alignment horizontal="center" shrinkToFit="0" vertical="bottom" wrapText="0"/>
    </xf>
    <xf borderId="3" fillId="0" fontId="12" numFmtId="0" xfId="0" applyBorder="1" applyFont="1"/>
    <xf borderId="14" fillId="4" fontId="6" numFmtId="0" xfId="0" applyAlignment="1" applyBorder="1" applyFill="1" applyFont="1">
      <alignment horizontal="center" shrinkToFit="0" vertical="center" wrapText="0"/>
    </xf>
    <xf borderId="14" fillId="4" fontId="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4" fillId="3" fontId="6" numFmtId="0" xfId="0" applyAlignment="1" applyBorder="1" applyFont="1">
      <alignment readingOrder="0" shrinkToFit="0" vertical="bottom" wrapText="0"/>
    </xf>
    <xf borderId="6" fillId="3" fontId="6" numFmtId="166" xfId="0" applyAlignment="1" applyBorder="1" applyFont="1" applyNumberFormat="1">
      <alignment shrinkToFit="0" vertical="bottom" wrapText="0"/>
    </xf>
    <xf borderId="14" fillId="3" fontId="6" numFmtId="166" xfId="0" applyAlignment="1" applyBorder="1" applyFont="1" applyNumberForma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29" fillId="3" fontId="6" numFmtId="166" xfId="0" applyAlignment="1" applyBorder="1" applyFont="1" applyNumberFormat="1">
      <alignment shrinkToFit="0" vertical="bottom" wrapText="0"/>
    </xf>
    <xf borderId="30" fillId="3" fontId="6" numFmtId="166" xfId="0" applyAlignment="1" applyBorder="1" applyFont="1" applyNumberFormat="1">
      <alignment shrinkToFit="0" vertical="bottom" wrapText="0"/>
    </xf>
    <xf borderId="4" fillId="4" fontId="6" numFmtId="0" xfId="0" applyAlignment="1" applyBorder="1" applyFont="1">
      <alignment shrinkToFit="0" vertical="bottom" wrapText="0"/>
    </xf>
    <xf borderId="6" fillId="4" fontId="11" numFmtId="166" xfId="0" applyAlignment="1" applyBorder="1" applyFont="1" applyNumberFormat="1">
      <alignment shrinkToFit="0" vertical="bottom" wrapText="0"/>
    </xf>
    <xf borderId="8" fillId="4" fontId="6" numFmtId="166" xfId="0" applyAlignment="1" applyBorder="1" applyFont="1" applyNumberFormat="1">
      <alignment shrinkToFit="0" vertical="bottom" wrapText="0"/>
    </xf>
    <xf borderId="10" fillId="4" fontId="6" numFmtId="166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43.11"/>
    <col customWidth="1" min="3" max="3" width="23.67"/>
    <col customWidth="1" min="4" max="4" width="18.33"/>
    <col customWidth="1" min="5" max="13" width="12.44"/>
    <col customWidth="1" min="14" max="26" width="8.56"/>
  </cols>
  <sheetData>
    <row r="1" ht="13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6" t="s">
        <v>0</v>
      </c>
      <c r="C2" s="7" t="s">
        <v>1</v>
      </c>
      <c r="D2" s="8" t="s">
        <v>2</v>
      </c>
      <c r="E2" s="1"/>
      <c r="F2" s="1"/>
      <c r="G2" s="1"/>
      <c r="H2" s="1"/>
      <c r="I2" s="1"/>
      <c r="J2" s="1"/>
      <c r="K2" s="1"/>
      <c r="L2" s="1"/>
      <c r="M2" s="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"/>
      <c r="B3" s="9" t="s">
        <v>3</v>
      </c>
      <c r="C3" s="10">
        <v>300.0</v>
      </c>
      <c r="D3" s="11">
        <f t="shared" ref="D3:D6" si="1">C3*12</f>
        <v>3600</v>
      </c>
      <c r="E3" s="1"/>
      <c r="F3" s="1"/>
      <c r="G3" s="1"/>
      <c r="H3" s="1"/>
      <c r="I3" s="1"/>
      <c r="J3" s="1"/>
      <c r="K3" s="1"/>
      <c r="L3" s="1"/>
      <c r="M3" s="1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"/>
      <c r="B4" s="9" t="s">
        <v>4</v>
      </c>
      <c r="C4" s="10">
        <v>300.0</v>
      </c>
      <c r="D4" s="11">
        <f t="shared" si="1"/>
        <v>3600</v>
      </c>
      <c r="E4" s="1"/>
      <c r="F4" s="1"/>
      <c r="G4" s="1"/>
      <c r="H4" s="1"/>
      <c r="I4" s="1"/>
      <c r="J4" s="1"/>
      <c r="K4" s="1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"/>
      <c r="B5" s="9" t="s">
        <v>5</v>
      </c>
      <c r="C5" s="10">
        <v>300.0</v>
      </c>
      <c r="D5" s="11">
        <f t="shared" si="1"/>
        <v>3600</v>
      </c>
      <c r="E5" s="1"/>
      <c r="F5" s="1"/>
      <c r="G5" s="1"/>
      <c r="H5" s="1"/>
      <c r="I5" s="1"/>
      <c r="J5" s="1"/>
      <c r="K5" s="1"/>
      <c r="L5" s="1"/>
      <c r="M5" s="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"/>
      <c r="B6" s="9" t="s">
        <v>6</v>
      </c>
      <c r="C6" s="10">
        <v>300.0</v>
      </c>
      <c r="D6" s="11">
        <f t="shared" si="1"/>
        <v>3600</v>
      </c>
      <c r="E6" s="1"/>
      <c r="F6" s="1"/>
      <c r="G6" s="1"/>
      <c r="H6" s="1"/>
      <c r="I6" s="1"/>
      <c r="J6" s="1"/>
      <c r="K6" s="1"/>
      <c r="L6" s="1"/>
      <c r="M6" s="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"/>
      <c r="B7" s="12" t="s">
        <v>7</v>
      </c>
      <c r="C7" s="13"/>
      <c r="D7" s="14">
        <f>SUM(C3:C6)*12</f>
        <v>14400</v>
      </c>
      <c r="E7" s="1"/>
      <c r="F7" s="1"/>
      <c r="G7" s="1"/>
      <c r="H7" s="1"/>
      <c r="I7" s="1"/>
      <c r="J7" s="1"/>
      <c r="K7" s="1"/>
      <c r="L7" s="1"/>
      <c r="M7" s="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"/>
      <c r="B8" s="15" t="s">
        <v>8</v>
      </c>
      <c r="C8" s="13">
        <f>80*4</f>
        <v>320</v>
      </c>
      <c r="D8" s="14">
        <f>C8*12</f>
        <v>3840</v>
      </c>
      <c r="E8" s="1"/>
      <c r="F8" s="1"/>
      <c r="G8" s="1"/>
      <c r="H8" s="1"/>
      <c r="I8" s="1"/>
      <c r="J8" s="1"/>
      <c r="K8" s="1"/>
      <c r="L8" s="1"/>
      <c r="M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"/>
      <c r="B9" s="16" t="s">
        <v>9</v>
      </c>
      <c r="C9" s="17"/>
      <c r="D9" s="14">
        <f>D7+D8</f>
        <v>18240</v>
      </c>
      <c r="E9" s="1"/>
      <c r="F9" s="1"/>
      <c r="G9" s="1"/>
      <c r="H9" s="1"/>
      <c r="I9" s="1"/>
      <c r="J9" s="1"/>
      <c r="K9" s="1"/>
      <c r="L9" s="1"/>
      <c r="M9" s="1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"/>
      <c r="B10" s="1"/>
      <c r="C10" s="1"/>
      <c r="D10" s="18"/>
      <c r="E10" s="1"/>
      <c r="F10" s="1"/>
      <c r="G10" s="1"/>
      <c r="H10" s="1"/>
      <c r="I10" s="1"/>
      <c r="J10" s="1"/>
      <c r="K10" s="1"/>
      <c r="L10" s="1"/>
      <c r="M10" s="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"/>
      <c r="B11" s="1"/>
      <c r="C11" s="1"/>
      <c r="D11" s="4"/>
      <c r="E11" s="1"/>
      <c r="F11" s="1"/>
      <c r="G11" s="1"/>
      <c r="H11" s="1"/>
      <c r="I11" s="1"/>
      <c r="J11" s="1"/>
      <c r="K11" s="1"/>
      <c r="L11" s="1"/>
      <c r="M11" s="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"/>
      <c r="B12" s="6" t="s">
        <v>10</v>
      </c>
      <c r="C12" s="7" t="s">
        <v>1</v>
      </c>
      <c r="D12" s="8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"/>
      <c r="B13" s="1" t="s">
        <v>11</v>
      </c>
      <c r="C13" s="10">
        <v>50.0</v>
      </c>
      <c r="D13" s="19">
        <f t="shared" ref="D13:D16" si="2">C13*12</f>
        <v>600</v>
      </c>
      <c r="E13" s="1"/>
      <c r="F13" s="1"/>
      <c r="G13" s="1"/>
      <c r="H13" s="1"/>
      <c r="I13" s="1"/>
      <c r="J13" s="1"/>
      <c r="K13" s="1"/>
      <c r="L13" s="1"/>
      <c r="M13" s="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"/>
      <c r="B14" s="1" t="s">
        <v>12</v>
      </c>
      <c r="C14" s="10">
        <v>70.0</v>
      </c>
      <c r="D14" s="19">
        <f t="shared" si="2"/>
        <v>840</v>
      </c>
      <c r="E14" s="1"/>
      <c r="F14" s="1"/>
      <c r="G14" s="1"/>
      <c r="H14" s="1"/>
      <c r="I14" s="1"/>
      <c r="J14" s="1"/>
      <c r="K14" s="1"/>
      <c r="L14" s="1"/>
      <c r="M14" s="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1"/>
      <c r="B15" s="1" t="s">
        <v>13</v>
      </c>
      <c r="C15" s="10">
        <v>30.0</v>
      </c>
      <c r="D15" s="19">
        <f t="shared" si="2"/>
        <v>360</v>
      </c>
      <c r="E15" s="1"/>
      <c r="F15" s="1"/>
      <c r="G15" s="1"/>
      <c r="H15" s="1"/>
      <c r="I15" s="1"/>
      <c r="J15" s="1"/>
      <c r="K15" s="1"/>
      <c r="L15" s="1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"/>
      <c r="B16" s="20" t="s">
        <v>10</v>
      </c>
      <c r="C16" s="3">
        <v>50.0</v>
      </c>
      <c r="D16" s="21">
        <f t="shared" si="2"/>
        <v>600</v>
      </c>
      <c r="E16" s="1"/>
      <c r="F16" s="1"/>
      <c r="G16" s="1"/>
      <c r="H16" s="1"/>
      <c r="I16" s="1"/>
      <c r="J16" s="1"/>
      <c r="K16" s="1"/>
      <c r="L16" s="1"/>
      <c r="M16" s="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"/>
      <c r="B17" s="20"/>
      <c r="C17" s="3"/>
      <c r="D17" s="21"/>
      <c r="E17" s="1"/>
      <c r="F17" s="1"/>
      <c r="G17" s="1"/>
      <c r="H17" s="1"/>
      <c r="I17" s="1"/>
      <c r="J17" s="1"/>
      <c r="K17" s="1"/>
      <c r="L17" s="1"/>
      <c r="M17" s="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"/>
      <c r="B18" s="16" t="s">
        <v>14</v>
      </c>
      <c r="C18" s="22">
        <f>SUM(C13:C16)</f>
        <v>200</v>
      </c>
      <c r="D18" s="14">
        <f>SUM(D13:D17)</f>
        <v>2400</v>
      </c>
      <c r="E18" s="1"/>
      <c r="F18" s="1"/>
      <c r="G18" s="1"/>
      <c r="H18" s="1"/>
      <c r="I18" s="1"/>
      <c r="J18" s="1"/>
      <c r="K18" s="1"/>
      <c r="L18" s="1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"/>
      <c r="B19" s="1"/>
      <c r="C19" s="1"/>
      <c r="D19" s="23"/>
      <c r="E19" s="1"/>
      <c r="F19" s="1"/>
      <c r="G19" s="1"/>
      <c r="H19" s="1"/>
      <c r="I19" s="1"/>
      <c r="J19" s="1"/>
      <c r="K19" s="1"/>
      <c r="L19" s="1"/>
      <c r="M19" s="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"/>
      <c r="B20" s="16" t="s">
        <v>15</v>
      </c>
      <c r="C20" s="17"/>
      <c r="D20" s="14">
        <f>D9+D18</f>
        <v>20640</v>
      </c>
      <c r="E20" s="1"/>
      <c r="F20" s="1"/>
      <c r="G20" s="1"/>
      <c r="H20" s="1"/>
      <c r="I20" s="1"/>
      <c r="J20" s="1"/>
      <c r="K20" s="1"/>
      <c r="L20" s="1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1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1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1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1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1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1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1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1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1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1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1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1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1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1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1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1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1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19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1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1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1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1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1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1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1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1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1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19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1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1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1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19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19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1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1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1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1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1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1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1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19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19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1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1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1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1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19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19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1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19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1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1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1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1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19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19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19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19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19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19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19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19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19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19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19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19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19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19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19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19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19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19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19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19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19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19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19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19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1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1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19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19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19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1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1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19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19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19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19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1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19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19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19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19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19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19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19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19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1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19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19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1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1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1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19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19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1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1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19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19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19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1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1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1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1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1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1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1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1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1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1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1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1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1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1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1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1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1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1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1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1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1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1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1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1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1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1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1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1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1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1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1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1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1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1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1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1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1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1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1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1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1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1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1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1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1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1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1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1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1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1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1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1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1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1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1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1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1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1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1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1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1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1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1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1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1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1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1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1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1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1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1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1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1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1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1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1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1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1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1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1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1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1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1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1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1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1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1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1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1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1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1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1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1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1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1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1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1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1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1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1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1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1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1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1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1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1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1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1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1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1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1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1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1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1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1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1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1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1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1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1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1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1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1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1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1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1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1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1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1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1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1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1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1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1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1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1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1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1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1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1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1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1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1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1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1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1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1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1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1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1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1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1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1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1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1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1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1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1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1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1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1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1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1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1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1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1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1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1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1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1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1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1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1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1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1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1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1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1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1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1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1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1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1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1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1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1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1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1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1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1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1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1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1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1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1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1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1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1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1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1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1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1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1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1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1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1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1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1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1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1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1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1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1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19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19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19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19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19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19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19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19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19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19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19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19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19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19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19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19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19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19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19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19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19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19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19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19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19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19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19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19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19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19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19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19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19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19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19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19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19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19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19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19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19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19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19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19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19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19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19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19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19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19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19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19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19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19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19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19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19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19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19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19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19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19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19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19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19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19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19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19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19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19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19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19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19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19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19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19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19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19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19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19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19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19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19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19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19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19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19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19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19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19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19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19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19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19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19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19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19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19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19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19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19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19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19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19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19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19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19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19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19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19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19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19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19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19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19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19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1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19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19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19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19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19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19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19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19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19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19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19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1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19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19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19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19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19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19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19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19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19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19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19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19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19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19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19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19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19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19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19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19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19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19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19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19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19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19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19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19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19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19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19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19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19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19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19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19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19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19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19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19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19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19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19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19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19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19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19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19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19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19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19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19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19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19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19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19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19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19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19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19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19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19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19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19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19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19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19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19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19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19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19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1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1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1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1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1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1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1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1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1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1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1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1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19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19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19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19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19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19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19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19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19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19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19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19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19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19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19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19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19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19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19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19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19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19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19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19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19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19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19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19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19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19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19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19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19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19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19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19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19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19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19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19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19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19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19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19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19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19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19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19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19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19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19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19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19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19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19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19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19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19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19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19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19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19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19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19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19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19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19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19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19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19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19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19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19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19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19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19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19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19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19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19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19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19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19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19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19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19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19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19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19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19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19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19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19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19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19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19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19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19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19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19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19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19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19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19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19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19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19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19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19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19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19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19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19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19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19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19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19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19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19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19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19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19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19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19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19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19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19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19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19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19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19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19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19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19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19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19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19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19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19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19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19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19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19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19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19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19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19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19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19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19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19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19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19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19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19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19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19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19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19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19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19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19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19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19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19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19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19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19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19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19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19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19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19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19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19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19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19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19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19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19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19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19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19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19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19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19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19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19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19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19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19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19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19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19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19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19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19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19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19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19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19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19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19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19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19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19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19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19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19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19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19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19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19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19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19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19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19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19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19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19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19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19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19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19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19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19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19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19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19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19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19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19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19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19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19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19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19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19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19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19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19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19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19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19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19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19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19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19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19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19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19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19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19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19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19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19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19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19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19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19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19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19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19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19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19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19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19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19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19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19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19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19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19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19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19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19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19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19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19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19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19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19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19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19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19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19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19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19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19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19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19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19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19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19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19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19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19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19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19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19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19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19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19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19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19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19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19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19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19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19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19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19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19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19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19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19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19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19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19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19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19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19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19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19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19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19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19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19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19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19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19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19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19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19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19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19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19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19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19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19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19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19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19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19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19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19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19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19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19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19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19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19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19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19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19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19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19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19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19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19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19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19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19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19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19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19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19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19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19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19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19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19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19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19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19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19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19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19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19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19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19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19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19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19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19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19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19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19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19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19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19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19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19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19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19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19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19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19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19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19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19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19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19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1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1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19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19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19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19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19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19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19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19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19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19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19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19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19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19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19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19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19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19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19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19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19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19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19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19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19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19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19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19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19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19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19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19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19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19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19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19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19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19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3" footer="0.0" header="0.0" left="0.7" right="0.7" top="0.3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29.11"/>
    <col customWidth="1" min="3" max="3" width="20.11"/>
    <col customWidth="1" min="4" max="4" width="18.33"/>
    <col customWidth="1" min="5" max="5" width="22.11"/>
    <col customWidth="1" min="6" max="6" width="11.89"/>
    <col customWidth="1" min="7" max="26" width="8.56"/>
  </cols>
  <sheetData>
    <row r="1" ht="15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5.75" customHeigh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5.75" customHeight="1">
      <c r="A3" s="24"/>
      <c r="B3" s="6" t="s">
        <v>16</v>
      </c>
      <c r="C3" s="25" t="s">
        <v>17</v>
      </c>
      <c r="D3" s="25" t="s">
        <v>18</v>
      </c>
      <c r="E3" s="26" t="s">
        <v>1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5.75" customHeight="1">
      <c r="A4" s="24"/>
      <c r="B4" s="1" t="s">
        <v>19</v>
      </c>
      <c r="C4" s="27">
        <v>1.0</v>
      </c>
      <c r="D4" s="10">
        <v>1.0</v>
      </c>
      <c r="E4" s="28">
        <f>C4*D4</f>
        <v>1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5.75" customHeight="1">
      <c r="A5" s="24"/>
      <c r="B5" s="1" t="s">
        <v>20</v>
      </c>
      <c r="C5" s="27">
        <v>1.0</v>
      </c>
      <c r="D5" s="10">
        <v>4.0</v>
      </c>
      <c r="E5" s="28">
        <f>C4*D5</f>
        <v>4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>
      <c r="A6" s="24"/>
      <c r="B6" s="24" t="s">
        <v>21</v>
      </c>
      <c r="C6" s="27">
        <v>1.0</v>
      </c>
      <c r="D6" s="10">
        <v>0.5</v>
      </c>
      <c r="E6" s="28">
        <f>C4*D6</f>
        <v>0.5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.75" customHeight="1">
      <c r="A7" s="24"/>
      <c r="B7" s="1"/>
      <c r="C7" s="1"/>
      <c r="D7" s="1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.75" customHeight="1">
      <c r="A8" s="24"/>
      <c r="B8" s="29" t="s">
        <v>22</v>
      </c>
      <c r="C8" s="30"/>
      <c r="D8" s="30"/>
      <c r="E8" s="31">
        <f>SUM(E4:E7)</f>
        <v>5.5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.75" customHeight="1">
      <c r="A9" s="24"/>
      <c r="B9" s="32" t="s">
        <v>23</v>
      </c>
      <c r="C9" s="33"/>
      <c r="D9" s="33"/>
      <c r="E9" s="34">
        <f>E8</f>
        <v>5.5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5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5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5.7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46.33"/>
    <col customWidth="1" min="3" max="3" width="12.44"/>
    <col customWidth="1" min="4" max="6" width="11.78"/>
    <col customWidth="1" min="7" max="26" width="8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5" t="s">
        <v>24</v>
      </c>
      <c r="C4" s="36" t="s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 t="s">
        <v>26</v>
      </c>
      <c r="C5" s="10">
        <v>150.0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 t="s">
        <v>27</v>
      </c>
      <c r="C6" s="10">
        <v>125.0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28</v>
      </c>
      <c r="C7" s="10">
        <v>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7"/>
      <c r="B9" s="38" t="s">
        <v>29</v>
      </c>
      <c r="C9" s="31">
        <f>SUM(C5:C8)</f>
        <v>275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37"/>
      <c r="B11" s="35" t="s">
        <v>30</v>
      </c>
      <c r="C11" s="36" t="s">
        <v>25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.75" customHeight="1">
      <c r="A12" s="1"/>
      <c r="B12" s="1" t="s">
        <v>31</v>
      </c>
      <c r="C12" s="10">
        <v>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 t="s">
        <v>32</v>
      </c>
      <c r="C13" s="10">
        <v>0.0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 t="s">
        <v>33</v>
      </c>
      <c r="C14" s="10">
        <v>300.0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37"/>
      <c r="B16" s="38" t="s">
        <v>34</v>
      </c>
      <c r="C16" s="31">
        <f>SUM(C12:C15)</f>
        <v>300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38" t="s">
        <v>35</v>
      </c>
      <c r="C19" s="31">
        <f>C9+C16</f>
        <v>575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32.44"/>
    <col customWidth="1" min="3" max="3" width="13.11"/>
    <col customWidth="1" min="4" max="4" width="14.0"/>
    <col customWidth="1" min="5" max="5" width="25.0"/>
    <col customWidth="1" min="6" max="6" width="19.44"/>
    <col customWidth="1" min="7" max="26" width="8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2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39" t="s">
        <v>36</v>
      </c>
      <c r="C4" s="40" t="s">
        <v>25</v>
      </c>
      <c r="D4" s="41" t="s">
        <v>37</v>
      </c>
      <c r="E4" s="42" t="s">
        <v>38</v>
      </c>
      <c r="F4" s="43" t="s">
        <v>39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0">
        <v>0.0</v>
      </c>
      <c r="D5" s="1">
        <v>0.0</v>
      </c>
      <c r="E5" s="10">
        <v>0.0</v>
      </c>
      <c r="F5" s="10">
        <f>E5/12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37"/>
      <c r="B7" s="38" t="s">
        <v>40</v>
      </c>
      <c r="C7" s="44">
        <f>SUM(C5:C6)</f>
        <v>0</v>
      </c>
      <c r="D7" s="45"/>
      <c r="E7" s="44">
        <f t="shared" ref="E7:F7" si="1">SUM(E5:E6)</f>
        <v>0</v>
      </c>
      <c r="F7" s="31">
        <f t="shared" si="1"/>
        <v>0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49.56"/>
    <col customWidth="1" min="3" max="3" width="18.78"/>
    <col customWidth="1" min="4" max="4" width="21.56"/>
    <col customWidth="1" min="5" max="6" width="11.78"/>
    <col customWidth="1" min="7" max="26" width="8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35" t="s">
        <v>41</v>
      </c>
      <c r="C5" s="46" t="s">
        <v>42</v>
      </c>
      <c r="D5" s="36" t="s">
        <v>43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 t="s">
        <v>44</v>
      </c>
      <c r="C7" s="47"/>
      <c r="D7" s="47">
        <f>COSTES_FIJOS!D20/12*4</f>
        <v>6880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 t="s">
        <v>45</v>
      </c>
      <c r="C8" s="47"/>
      <c r="D8" s="47">
        <f>COSTES_VARIABLES!E9/12*4</f>
        <v>1.833333333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 t="s">
        <v>46</v>
      </c>
      <c r="C9" s="47">
        <f>GASTOS_DE_PUESTA_EN_MARCHA!C16</f>
        <v>300</v>
      </c>
      <c r="D9" s="4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47</v>
      </c>
      <c r="C10" s="47">
        <f>'INVERSIÓN_EN_INMOVILIZADO'!C7</f>
        <v>0</v>
      </c>
      <c r="D10" s="4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47"/>
      <c r="D11" s="4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0" t="s">
        <v>40</v>
      </c>
      <c r="C12" s="48">
        <f t="shared" ref="C12:D12" si="1">SUM(C7:C10)</f>
        <v>300</v>
      </c>
      <c r="D12" s="48">
        <f t="shared" si="1"/>
        <v>6881.833333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47"/>
      <c r="D13" s="4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7"/>
      <c r="B14" s="38" t="s">
        <v>48</v>
      </c>
      <c r="C14" s="49"/>
      <c r="D14" s="50">
        <f>C12+D12</f>
        <v>7181.833333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.75" customHeight="1">
      <c r="A15" s="1"/>
      <c r="B15" s="1"/>
      <c r="C15" s="47"/>
      <c r="D15" s="4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37"/>
      <c r="B17" s="51" t="s">
        <v>49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.75" customHeight="1">
      <c r="A18" s="1"/>
      <c r="B18" s="1" t="s">
        <v>50</v>
      </c>
      <c r="C18" s="52">
        <v>1.0</v>
      </c>
      <c r="D18" s="47">
        <f>D14*C18</f>
        <v>7181.833333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7"/>
      <c r="B20" s="38" t="s">
        <v>51</v>
      </c>
      <c r="C20" s="30"/>
      <c r="D20" s="50">
        <f>SUM(D18)</f>
        <v>7181.833333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33.56"/>
    <col customWidth="1" min="3" max="3" width="32.89"/>
    <col customWidth="1" min="4" max="6" width="11.89"/>
    <col customWidth="1" min="7" max="15" width="13.0"/>
    <col customWidth="1" min="16" max="16" width="20.67"/>
    <col customWidth="1" min="17" max="17" width="24.67"/>
    <col customWidth="1" min="18" max="18" width="11.78"/>
    <col customWidth="1" min="19" max="19" width="38.89"/>
    <col customWidth="1" min="20" max="29" width="11.78"/>
    <col customWidth="1" min="30" max="30" width="14.0"/>
    <col customWidth="1" min="31" max="31" width="19.67"/>
    <col customWidth="1" min="32" max="32" width="30.3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5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8.75" customHeight="1">
      <c r="A2" s="1"/>
      <c r="B2" s="1"/>
      <c r="C2" s="1"/>
      <c r="D2" s="54" t="s">
        <v>52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  <c r="P2" s="53"/>
      <c r="Q2" s="1"/>
      <c r="R2" s="1"/>
      <c r="S2" s="54" t="s">
        <v>53</v>
      </c>
      <c r="T2" s="55"/>
      <c r="U2" s="55"/>
      <c r="V2" s="55"/>
      <c r="W2" s="55"/>
      <c r="X2" s="55"/>
      <c r="Y2" s="55"/>
      <c r="Z2" s="55"/>
      <c r="AA2" s="55"/>
      <c r="AB2" s="55"/>
      <c r="AC2" s="55"/>
      <c r="AD2" s="56"/>
      <c r="AE2" s="53"/>
      <c r="AF2" s="1"/>
    </row>
    <row r="3" ht="18.75" customHeight="1">
      <c r="A3" s="1"/>
      <c r="B3" s="1"/>
      <c r="C3" s="57" t="s">
        <v>54</v>
      </c>
      <c r="D3" s="58" t="s">
        <v>55</v>
      </c>
      <c r="E3" s="58" t="s">
        <v>56</v>
      </c>
      <c r="F3" s="58" t="s">
        <v>57</v>
      </c>
      <c r="G3" s="58" t="s">
        <v>58</v>
      </c>
      <c r="H3" s="58" t="s">
        <v>59</v>
      </c>
      <c r="I3" s="58" t="s">
        <v>60</v>
      </c>
      <c r="J3" s="58" t="s">
        <v>61</v>
      </c>
      <c r="K3" s="58" t="s">
        <v>62</v>
      </c>
      <c r="L3" s="58" t="s">
        <v>63</v>
      </c>
      <c r="M3" s="58" t="s">
        <v>64</v>
      </c>
      <c r="N3" s="58" t="s">
        <v>65</v>
      </c>
      <c r="O3" s="59" t="s">
        <v>66</v>
      </c>
      <c r="P3" s="60" t="s">
        <v>67</v>
      </c>
      <c r="Q3" s="61" t="s">
        <v>68</v>
      </c>
      <c r="R3" s="1"/>
      <c r="S3" s="62" t="s">
        <v>55</v>
      </c>
      <c r="T3" s="58" t="s">
        <v>56</v>
      </c>
      <c r="U3" s="58" t="s">
        <v>57</v>
      </c>
      <c r="V3" s="58" t="s">
        <v>58</v>
      </c>
      <c r="W3" s="58" t="s">
        <v>59</v>
      </c>
      <c r="X3" s="58" t="s">
        <v>60</v>
      </c>
      <c r="Y3" s="58" t="s">
        <v>61</v>
      </c>
      <c r="Z3" s="58" t="s">
        <v>62</v>
      </c>
      <c r="AA3" s="58" t="s">
        <v>63</v>
      </c>
      <c r="AB3" s="58" t="s">
        <v>64</v>
      </c>
      <c r="AC3" s="58" t="s">
        <v>65</v>
      </c>
      <c r="AD3" s="59" t="s">
        <v>66</v>
      </c>
      <c r="AE3" s="60" t="s">
        <v>69</v>
      </c>
      <c r="AF3" s="61" t="s">
        <v>68</v>
      </c>
    </row>
    <row r="4" ht="18.75" customHeight="1">
      <c r="A4" s="1"/>
      <c r="B4" s="63" t="s">
        <v>70</v>
      </c>
      <c r="C4" s="64" t="s">
        <v>71</v>
      </c>
      <c r="D4" s="1"/>
      <c r="E4" s="1"/>
      <c r="F4" s="1"/>
      <c r="G4" s="1"/>
      <c r="H4" s="1"/>
      <c r="I4" s="1"/>
      <c r="J4" s="65">
        <v>30.0</v>
      </c>
      <c r="K4" s="65">
        <v>30.0</v>
      </c>
      <c r="L4" s="65">
        <v>30.0</v>
      </c>
      <c r="M4" s="1">
        <v>30.0</v>
      </c>
      <c r="N4" s="1">
        <v>30.0</v>
      </c>
      <c r="O4" s="1">
        <v>30.0</v>
      </c>
      <c r="P4" s="53">
        <f>SUM(D4:O4)</f>
        <v>180</v>
      </c>
      <c r="Q4" s="66">
        <f>P4/12</f>
        <v>15</v>
      </c>
      <c r="R4" s="1"/>
      <c r="S4" s="67">
        <v>35.0</v>
      </c>
      <c r="T4" s="1">
        <v>35.0</v>
      </c>
      <c r="U4" s="1">
        <v>40.0</v>
      </c>
      <c r="V4" s="1">
        <v>40.0</v>
      </c>
      <c r="W4" s="1">
        <v>40.0</v>
      </c>
      <c r="X4" s="1">
        <v>50.0</v>
      </c>
      <c r="Y4" s="65">
        <v>50.0</v>
      </c>
      <c r="Z4" s="65">
        <v>60.0</v>
      </c>
      <c r="AA4" s="65">
        <v>60.0</v>
      </c>
      <c r="AB4" s="1">
        <v>60.0</v>
      </c>
      <c r="AC4" s="1">
        <v>60.0</v>
      </c>
      <c r="AD4" s="1">
        <v>60.0</v>
      </c>
      <c r="AE4" s="53">
        <f>SUM(S4:AD4)</f>
        <v>590</v>
      </c>
      <c r="AF4" s="66">
        <f>AE4/12</f>
        <v>49.16666667</v>
      </c>
    </row>
    <row r="5" ht="18.75" customHeight="1">
      <c r="A5" s="1"/>
      <c r="B5" s="68" t="s">
        <v>72</v>
      </c>
      <c r="C5" s="69" t="s">
        <v>73</v>
      </c>
      <c r="D5" s="47">
        <v>0.0</v>
      </c>
      <c r="E5" s="47">
        <f t="shared" ref="E5:I5" si="1">D5</f>
        <v>0</v>
      </c>
      <c r="F5" s="47">
        <f t="shared" si="1"/>
        <v>0</v>
      </c>
      <c r="G5" s="47">
        <f t="shared" si="1"/>
        <v>0</v>
      </c>
      <c r="H5" s="47">
        <f t="shared" si="1"/>
        <v>0</v>
      </c>
      <c r="I5" s="47">
        <f t="shared" si="1"/>
        <v>0</v>
      </c>
      <c r="J5" s="47">
        <v>41.32</v>
      </c>
      <c r="K5" s="47">
        <f t="shared" ref="K5:O5" si="2">J5</f>
        <v>41.32</v>
      </c>
      <c r="L5" s="47">
        <f t="shared" si="2"/>
        <v>41.32</v>
      </c>
      <c r="M5" s="47">
        <f t="shared" si="2"/>
        <v>41.32</v>
      </c>
      <c r="N5" s="47">
        <f t="shared" si="2"/>
        <v>41.32</v>
      </c>
      <c r="O5" s="47">
        <f t="shared" si="2"/>
        <v>41.32</v>
      </c>
      <c r="P5" s="70">
        <f>J5</f>
        <v>41.32</v>
      </c>
      <c r="Q5" s="71"/>
      <c r="R5" s="1"/>
      <c r="S5" s="72">
        <v>41.32</v>
      </c>
      <c r="T5" s="47">
        <f t="shared" ref="T5:X5" si="3">S5</f>
        <v>41.32</v>
      </c>
      <c r="U5" s="47">
        <f t="shared" si="3"/>
        <v>41.32</v>
      </c>
      <c r="V5" s="47">
        <f t="shared" si="3"/>
        <v>41.32</v>
      </c>
      <c r="W5" s="47">
        <f t="shared" si="3"/>
        <v>41.32</v>
      </c>
      <c r="X5" s="47">
        <f t="shared" si="3"/>
        <v>41.32</v>
      </c>
      <c r="Y5" s="47">
        <v>41.32</v>
      </c>
      <c r="Z5" s="47">
        <f t="shared" ref="Z5:AD5" si="4">Y5</f>
        <v>41.32</v>
      </c>
      <c r="AA5" s="47">
        <f t="shared" si="4"/>
        <v>41.32</v>
      </c>
      <c r="AB5" s="47">
        <f t="shared" si="4"/>
        <v>41.32</v>
      </c>
      <c r="AC5" s="47">
        <f t="shared" si="4"/>
        <v>41.32</v>
      </c>
      <c r="AD5" s="47">
        <f t="shared" si="4"/>
        <v>41.32</v>
      </c>
      <c r="AE5" s="70">
        <f>Y5</f>
        <v>41.32</v>
      </c>
      <c r="AF5" s="71"/>
    </row>
    <row r="6" ht="18.75" customHeight="1">
      <c r="A6" s="1"/>
      <c r="B6" s="73"/>
      <c r="C6" s="74" t="s">
        <v>74</v>
      </c>
      <c r="D6" s="75">
        <v>0.0</v>
      </c>
      <c r="E6" s="75">
        <v>0.0</v>
      </c>
      <c r="F6" s="75">
        <v>0.0</v>
      </c>
      <c r="G6" s="75">
        <v>0.0</v>
      </c>
      <c r="H6" s="75">
        <v>0.0</v>
      </c>
      <c r="I6" s="75">
        <v>0.0</v>
      </c>
      <c r="J6" s="75">
        <f t="shared" ref="J6:O6" si="5">J4*J5</f>
        <v>1239.6</v>
      </c>
      <c r="K6" s="75">
        <f t="shared" si="5"/>
        <v>1239.6</v>
      </c>
      <c r="L6" s="75">
        <f t="shared" si="5"/>
        <v>1239.6</v>
      </c>
      <c r="M6" s="75">
        <f t="shared" si="5"/>
        <v>1239.6</v>
      </c>
      <c r="N6" s="75">
        <f t="shared" si="5"/>
        <v>1239.6</v>
      </c>
      <c r="O6" s="75">
        <f t="shared" si="5"/>
        <v>1239.6</v>
      </c>
      <c r="P6" s="76">
        <f>SUM(D6:O6)</f>
        <v>7437.6</v>
      </c>
      <c r="Q6" s="77">
        <f>P6/12</f>
        <v>619.8</v>
      </c>
      <c r="R6" s="1"/>
      <c r="S6" s="78">
        <f t="shared" ref="S6:AD6" si="6">S4*S5</f>
        <v>1446.2</v>
      </c>
      <c r="T6" s="75">
        <f t="shared" si="6"/>
        <v>1446.2</v>
      </c>
      <c r="U6" s="75">
        <f t="shared" si="6"/>
        <v>1652.8</v>
      </c>
      <c r="V6" s="75">
        <f t="shared" si="6"/>
        <v>1652.8</v>
      </c>
      <c r="W6" s="75">
        <f t="shared" si="6"/>
        <v>1652.8</v>
      </c>
      <c r="X6" s="75">
        <f t="shared" si="6"/>
        <v>2066</v>
      </c>
      <c r="Y6" s="75">
        <f t="shared" si="6"/>
        <v>2066</v>
      </c>
      <c r="Z6" s="75">
        <f t="shared" si="6"/>
        <v>2479.2</v>
      </c>
      <c r="AA6" s="75">
        <f t="shared" si="6"/>
        <v>2479.2</v>
      </c>
      <c r="AB6" s="75">
        <f t="shared" si="6"/>
        <v>2479.2</v>
      </c>
      <c r="AC6" s="75">
        <f t="shared" si="6"/>
        <v>2479.2</v>
      </c>
      <c r="AD6" s="75">
        <f t="shared" si="6"/>
        <v>2479.2</v>
      </c>
      <c r="AE6" s="76">
        <f>SUM(S6:AD6)</f>
        <v>24378.8</v>
      </c>
      <c r="AF6" s="77">
        <f>AE6/12</f>
        <v>2031.566667</v>
      </c>
    </row>
    <row r="7" ht="1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8.75" customHeight="1">
      <c r="A8" s="1"/>
      <c r="B8" s="1"/>
      <c r="C8" s="38" t="s">
        <v>75</v>
      </c>
      <c r="D8" s="79">
        <v>0.0</v>
      </c>
      <c r="E8" s="79">
        <v>0.0</v>
      </c>
      <c r="F8" s="79">
        <v>0.0</v>
      </c>
      <c r="G8" s="79">
        <v>0.0</v>
      </c>
      <c r="H8" s="79">
        <v>0.0</v>
      </c>
      <c r="I8" s="79">
        <v>0.0</v>
      </c>
      <c r="J8" s="79">
        <f t="shared" ref="J8:P8" si="7">J6</f>
        <v>1239.6</v>
      </c>
      <c r="K8" s="79">
        <f t="shared" si="7"/>
        <v>1239.6</v>
      </c>
      <c r="L8" s="79">
        <f t="shared" si="7"/>
        <v>1239.6</v>
      </c>
      <c r="M8" s="79">
        <f t="shared" si="7"/>
        <v>1239.6</v>
      </c>
      <c r="N8" s="79">
        <f t="shared" si="7"/>
        <v>1239.6</v>
      </c>
      <c r="O8" s="79">
        <f t="shared" si="7"/>
        <v>1239.6</v>
      </c>
      <c r="P8" s="80">
        <f t="shared" si="7"/>
        <v>7437.6</v>
      </c>
      <c r="Q8" s="1"/>
      <c r="R8" s="1"/>
      <c r="S8" s="38" t="s">
        <v>75</v>
      </c>
      <c r="T8" s="79">
        <f t="shared" ref="T8:AF8" si="8">T6</f>
        <v>1446.2</v>
      </c>
      <c r="U8" s="79">
        <f t="shared" si="8"/>
        <v>1652.8</v>
      </c>
      <c r="V8" s="79">
        <f t="shared" si="8"/>
        <v>1652.8</v>
      </c>
      <c r="W8" s="79">
        <f t="shared" si="8"/>
        <v>1652.8</v>
      </c>
      <c r="X8" s="79">
        <f t="shared" si="8"/>
        <v>2066</v>
      </c>
      <c r="Y8" s="79">
        <f t="shared" si="8"/>
        <v>2066</v>
      </c>
      <c r="Z8" s="79">
        <f t="shared" si="8"/>
        <v>2479.2</v>
      </c>
      <c r="AA8" s="79">
        <f t="shared" si="8"/>
        <v>2479.2</v>
      </c>
      <c r="AB8" s="79">
        <f t="shared" si="8"/>
        <v>2479.2</v>
      </c>
      <c r="AC8" s="79">
        <f t="shared" si="8"/>
        <v>2479.2</v>
      </c>
      <c r="AD8" s="79">
        <f t="shared" si="8"/>
        <v>2479.2</v>
      </c>
      <c r="AE8" s="79">
        <f t="shared" si="8"/>
        <v>24378.8</v>
      </c>
      <c r="AF8" s="80">
        <f t="shared" si="8"/>
        <v>2031.566667</v>
      </c>
    </row>
    <row r="9" ht="18.75" customHeight="1">
      <c r="A9" s="1"/>
      <c r="B9" s="1"/>
      <c r="C9" s="81" t="s">
        <v>76</v>
      </c>
      <c r="D9" s="47">
        <f t="shared" ref="D9:P9" si="9">D8*21%</f>
        <v>0</v>
      </c>
      <c r="E9" s="47">
        <f t="shared" si="9"/>
        <v>0</v>
      </c>
      <c r="F9" s="47">
        <f t="shared" si="9"/>
        <v>0</v>
      </c>
      <c r="G9" s="47">
        <f t="shared" si="9"/>
        <v>0</v>
      </c>
      <c r="H9" s="47">
        <f t="shared" si="9"/>
        <v>0</v>
      </c>
      <c r="I9" s="47">
        <f t="shared" si="9"/>
        <v>0</v>
      </c>
      <c r="J9" s="47">
        <f t="shared" si="9"/>
        <v>260.316</v>
      </c>
      <c r="K9" s="47">
        <f t="shared" si="9"/>
        <v>260.316</v>
      </c>
      <c r="L9" s="47">
        <f t="shared" si="9"/>
        <v>260.316</v>
      </c>
      <c r="M9" s="47">
        <f t="shared" si="9"/>
        <v>260.316</v>
      </c>
      <c r="N9" s="47">
        <f t="shared" si="9"/>
        <v>260.316</v>
      </c>
      <c r="O9" s="47">
        <f t="shared" si="9"/>
        <v>260.316</v>
      </c>
      <c r="P9" s="82">
        <f t="shared" si="9"/>
        <v>1561.896</v>
      </c>
      <c r="Q9" s="1"/>
      <c r="R9" s="1"/>
      <c r="S9" s="81" t="s">
        <v>76</v>
      </c>
      <c r="T9" s="47">
        <f t="shared" ref="T9:AF9" si="10">T8*21%</f>
        <v>303.702</v>
      </c>
      <c r="U9" s="47">
        <f t="shared" si="10"/>
        <v>347.088</v>
      </c>
      <c r="V9" s="47">
        <f t="shared" si="10"/>
        <v>347.088</v>
      </c>
      <c r="W9" s="47">
        <f t="shared" si="10"/>
        <v>347.088</v>
      </c>
      <c r="X9" s="47">
        <f t="shared" si="10"/>
        <v>433.86</v>
      </c>
      <c r="Y9" s="47">
        <f t="shared" si="10"/>
        <v>433.86</v>
      </c>
      <c r="Z9" s="47">
        <f t="shared" si="10"/>
        <v>520.632</v>
      </c>
      <c r="AA9" s="47">
        <f t="shared" si="10"/>
        <v>520.632</v>
      </c>
      <c r="AB9" s="47">
        <f t="shared" si="10"/>
        <v>520.632</v>
      </c>
      <c r="AC9" s="47">
        <f t="shared" si="10"/>
        <v>520.632</v>
      </c>
      <c r="AD9" s="47">
        <f t="shared" si="10"/>
        <v>520.632</v>
      </c>
      <c r="AE9" s="47">
        <f t="shared" si="10"/>
        <v>5119.548</v>
      </c>
      <c r="AF9" s="82">
        <f t="shared" si="10"/>
        <v>426.629</v>
      </c>
    </row>
    <row r="10" ht="18.75" customHeight="1">
      <c r="A10" s="1"/>
      <c r="B10" s="1"/>
      <c r="C10" s="38" t="s">
        <v>77</v>
      </c>
      <c r="D10" s="79">
        <f t="shared" ref="D10:P10" si="11">SUM(D8:D9)</f>
        <v>0</v>
      </c>
      <c r="E10" s="79">
        <f t="shared" si="11"/>
        <v>0</v>
      </c>
      <c r="F10" s="79">
        <f t="shared" si="11"/>
        <v>0</v>
      </c>
      <c r="G10" s="79">
        <f t="shared" si="11"/>
        <v>0</v>
      </c>
      <c r="H10" s="79">
        <f t="shared" si="11"/>
        <v>0</v>
      </c>
      <c r="I10" s="79">
        <f t="shared" si="11"/>
        <v>0</v>
      </c>
      <c r="J10" s="79">
        <f t="shared" si="11"/>
        <v>1499.916</v>
      </c>
      <c r="K10" s="79">
        <f t="shared" si="11"/>
        <v>1499.916</v>
      </c>
      <c r="L10" s="79">
        <f t="shared" si="11"/>
        <v>1499.916</v>
      </c>
      <c r="M10" s="79">
        <f t="shared" si="11"/>
        <v>1499.916</v>
      </c>
      <c r="N10" s="79">
        <f t="shared" si="11"/>
        <v>1499.916</v>
      </c>
      <c r="O10" s="79">
        <f t="shared" si="11"/>
        <v>1499.916</v>
      </c>
      <c r="P10" s="80">
        <f t="shared" si="11"/>
        <v>8999.496</v>
      </c>
      <c r="Q10" s="1"/>
      <c r="R10" s="1"/>
      <c r="S10" s="38" t="s">
        <v>77</v>
      </c>
      <c r="T10" s="79">
        <f t="shared" ref="T10:AF10" si="12">SUM(T8:T9)</f>
        <v>1749.902</v>
      </c>
      <c r="U10" s="79">
        <f t="shared" si="12"/>
        <v>1999.888</v>
      </c>
      <c r="V10" s="79">
        <f t="shared" si="12"/>
        <v>1999.888</v>
      </c>
      <c r="W10" s="79">
        <f t="shared" si="12"/>
        <v>1999.888</v>
      </c>
      <c r="X10" s="79">
        <f t="shared" si="12"/>
        <v>2499.86</v>
      </c>
      <c r="Y10" s="79">
        <f t="shared" si="12"/>
        <v>2499.86</v>
      </c>
      <c r="Z10" s="79">
        <f t="shared" si="12"/>
        <v>2999.832</v>
      </c>
      <c r="AA10" s="79">
        <f t="shared" si="12"/>
        <v>2999.832</v>
      </c>
      <c r="AB10" s="79">
        <f t="shared" si="12"/>
        <v>2999.832</v>
      </c>
      <c r="AC10" s="79">
        <f t="shared" si="12"/>
        <v>2999.832</v>
      </c>
      <c r="AD10" s="79">
        <f t="shared" si="12"/>
        <v>2999.832</v>
      </c>
      <c r="AE10" s="79">
        <f t="shared" si="12"/>
        <v>29498.348</v>
      </c>
      <c r="AF10" s="80">
        <f t="shared" si="12"/>
        <v>2458.195667</v>
      </c>
    </row>
    <row r="11" ht="18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ht="1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53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53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53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3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53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5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5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53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53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5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53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53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53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53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53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53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53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53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53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3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5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53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53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53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53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53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53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53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5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5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5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5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5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5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5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5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5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5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5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5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5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53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53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53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53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53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53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5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5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53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5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53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53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53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53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5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53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53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53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53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5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53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53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53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53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53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5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5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53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53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53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53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53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5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5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53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53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53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3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53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53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53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53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53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53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53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53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5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5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53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53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53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53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53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53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53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53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5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5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53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53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53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53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53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53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53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53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53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53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53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53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53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53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53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53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53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53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53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53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53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5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5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53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53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53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53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53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5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5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53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53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53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53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53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5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5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53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53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53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53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53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53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5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5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53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53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53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53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53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53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53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53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53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53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53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53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53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53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53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53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53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53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53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5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5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53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53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53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53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53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53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53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53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53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53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53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53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53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53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53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53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53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53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53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53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53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53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53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53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53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53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53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53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53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53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53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53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53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53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53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53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5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5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53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53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53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53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53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53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ht="18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53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ht="18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53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ht="18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53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ht="18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53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ht="18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53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ht="18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53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ht="18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53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ht="18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53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ht="18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53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ht="18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53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ht="18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53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ht="18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53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ht="18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53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ht="18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53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ht="18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53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ht="18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53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ht="18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53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ht="18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53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ht="18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53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ht="18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53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ht="18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53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ht="18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53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ht="18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53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ht="18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53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ht="18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53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ht="18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53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ht="18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53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ht="18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53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ht="18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53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ht="18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53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ht="18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53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ht="18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53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ht="18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53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ht="18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53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ht="18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53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ht="18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53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ht="18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53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ht="18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53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ht="18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53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ht="18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53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ht="18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53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ht="18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53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ht="18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53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ht="18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53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ht="18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53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ht="18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53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ht="18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53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ht="18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53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ht="18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53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ht="18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53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ht="18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53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ht="18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53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ht="18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53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ht="18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53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ht="18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53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ht="18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53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ht="18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53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ht="18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53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ht="18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53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ht="18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53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ht="18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53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ht="18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53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ht="18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53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ht="18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53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ht="18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53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ht="18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53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ht="18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53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ht="18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53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ht="18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53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ht="18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53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ht="18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53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ht="18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53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ht="18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53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ht="18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53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ht="18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53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ht="18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53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ht="18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53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ht="18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53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ht="18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53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ht="18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53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ht="18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53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ht="18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53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ht="18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53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ht="18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53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ht="18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53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ht="18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53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ht="18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53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ht="18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53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ht="18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53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ht="18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53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ht="18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53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ht="18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53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ht="18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53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ht="18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53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ht="18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53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ht="18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53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ht="18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53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ht="18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53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ht="18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53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ht="18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53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ht="18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53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ht="18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53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ht="18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53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ht="18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53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ht="18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53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ht="18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53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ht="18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53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ht="18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53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ht="18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53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ht="18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53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ht="18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53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ht="18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53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ht="18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53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ht="18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53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ht="18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53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ht="18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53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ht="18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53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ht="18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53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ht="18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53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ht="18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53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ht="18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53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ht="18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53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ht="18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53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ht="18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53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ht="18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53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ht="18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53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ht="18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53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ht="18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53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ht="18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53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ht="18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53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ht="18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53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ht="18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53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ht="18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53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ht="18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53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ht="18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53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ht="18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53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ht="18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53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ht="18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53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ht="18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53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ht="18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53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ht="18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53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ht="18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53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ht="18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53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ht="18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53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ht="18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53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ht="18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53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ht="18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53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ht="18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53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ht="18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53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ht="18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53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ht="18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53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ht="18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53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ht="18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53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ht="18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53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ht="18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53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ht="18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53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ht="18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53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ht="18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53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ht="18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53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ht="18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53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ht="18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53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ht="18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53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ht="18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53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ht="18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53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ht="18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53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ht="18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53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ht="18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53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ht="18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53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ht="18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53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ht="18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53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ht="18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53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ht="18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53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ht="18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53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ht="18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53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ht="18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53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ht="18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53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ht="18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53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ht="18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53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ht="18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5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ht="18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5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ht="18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53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ht="18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53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ht="18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53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ht="18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53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ht="18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53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ht="18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5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ht="18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5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ht="18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53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ht="18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53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ht="18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53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ht="18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53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ht="18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53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ht="18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53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ht="18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53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ht="18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53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ht="18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53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ht="18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53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ht="18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53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ht="18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53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ht="18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53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ht="18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53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ht="18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53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ht="18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53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ht="18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53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ht="18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53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ht="18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53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ht="18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53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ht="18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53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ht="18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5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ht="18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5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ht="18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53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ht="18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53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ht="18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53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ht="18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53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ht="18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53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ht="18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53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ht="18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53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ht="18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53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ht="18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53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ht="18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53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ht="18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53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ht="18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53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ht="18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53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ht="18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53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ht="18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53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ht="18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53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ht="18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53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ht="18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53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ht="18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53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ht="18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53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ht="18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53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ht="18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53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ht="18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53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ht="18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53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ht="18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53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ht="18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53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ht="18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53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ht="18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53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ht="18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53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ht="18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53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ht="18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53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ht="18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53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ht="18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53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ht="18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53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ht="18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53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ht="18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53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ht="18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53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ht="18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53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ht="18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53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ht="18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5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ht="18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5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ht="18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53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ht="18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53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ht="18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53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ht="18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53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ht="18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53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ht="18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5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ht="18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5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ht="18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53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ht="18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53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ht="18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53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ht="18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53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ht="18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53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ht="18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53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ht="18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53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ht="18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53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ht="18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53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ht="18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53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ht="18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53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ht="18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53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ht="18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53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ht="18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53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ht="18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53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ht="18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53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ht="18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53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ht="18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53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ht="18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53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ht="18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53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ht="18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53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ht="18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53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ht="18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53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ht="18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53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ht="18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53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ht="18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53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ht="18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53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ht="18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53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ht="18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53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ht="18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53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ht="18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53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ht="18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53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ht="18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53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ht="18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53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ht="18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53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ht="18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53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ht="18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53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ht="18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53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ht="18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53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ht="18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53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ht="18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53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ht="18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53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ht="18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53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ht="18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53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ht="18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53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ht="18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53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ht="18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53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ht="18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53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ht="18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53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ht="18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53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ht="18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53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ht="18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53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ht="18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53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ht="18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53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ht="18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53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ht="18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53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ht="18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53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ht="18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53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ht="18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53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ht="18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53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ht="18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53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ht="18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53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ht="18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53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ht="18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53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ht="18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53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ht="18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53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ht="18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53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ht="18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53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ht="18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53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ht="18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53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ht="18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53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ht="18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53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ht="18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53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ht="18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53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ht="18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5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ht="18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5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ht="18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53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ht="18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53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ht="18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53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ht="18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53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ht="18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53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ht="18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53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ht="18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53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ht="18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53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ht="18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53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ht="18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53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ht="18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53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ht="18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53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ht="18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53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ht="18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53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ht="18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53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ht="18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53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ht="18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53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ht="18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53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ht="18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53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ht="18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53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ht="18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53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ht="18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53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ht="18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53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ht="18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53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ht="18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53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ht="18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5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ht="18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5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ht="18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53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ht="18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53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ht="18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53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ht="18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53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ht="18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5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ht="18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5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ht="18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53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ht="18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53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ht="18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53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ht="18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53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ht="18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5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ht="18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5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ht="18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53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ht="18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53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ht="18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53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ht="18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53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ht="18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53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ht="18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53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ht="18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53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ht="18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53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ht="18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53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ht="18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53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ht="18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53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ht="18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53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ht="18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53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ht="18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53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ht="18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53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ht="18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53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ht="18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53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ht="18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53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ht="18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53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ht="18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53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ht="18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53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ht="18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53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ht="18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53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ht="18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53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ht="18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53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ht="18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53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ht="18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53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ht="18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53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ht="18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53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ht="18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53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ht="18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53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ht="18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53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ht="18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53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ht="18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53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ht="18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53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ht="18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53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ht="18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53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ht="18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53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ht="18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53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ht="18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53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ht="18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53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ht="18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53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ht="18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53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ht="18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53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ht="18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53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ht="18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53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ht="18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53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ht="18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53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ht="18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53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ht="18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53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ht="18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53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ht="18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53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ht="18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53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ht="18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53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ht="18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53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ht="18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53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ht="18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53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ht="18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53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ht="18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53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ht="18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53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ht="18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53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ht="18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53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ht="18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53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ht="18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53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ht="18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53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ht="18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53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ht="18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53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ht="18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53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ht="18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53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ht="18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53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ht="18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53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ht="18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53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ht="18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53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ht="18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53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ht="18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53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ht="18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53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ht="18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53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ht="18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53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ht="18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53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ht="18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53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ht="18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53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ht="18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53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ht="18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53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ht="18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53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ht="18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53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ht="18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53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ht="18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53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ht="18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53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ht="18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53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ht="18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53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ht="18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53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ht="18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53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ht="18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53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ht="18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53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ht="18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53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ht="18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53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ht="18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53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ht="18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53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ht="18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53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ht="18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53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ht="18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53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ht="18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53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ht="18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53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ht="18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53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ht="18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53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ht="18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53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ht="18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53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ht="18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53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ht="18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53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ht="18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53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ht="18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53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ht="18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53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ht="18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53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ht="18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53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ht="18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53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ht="18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53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ht="18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53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ht="18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53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ht="18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53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ht="18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53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ht="18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53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ht="18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53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ht="18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53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ht="18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53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ht="18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53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ht="18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53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ht="18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5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ht="18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5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ht="18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53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ht="18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53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ht="18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53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ht="18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53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ht="18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53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ht="18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5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ht="18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5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ht="18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53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ht="18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53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ht="18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53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ht="18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53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ht="18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53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ht="18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53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ht="18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53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ht="18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53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ht="18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53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ht="18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53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ht="18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53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ht="18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53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ht="18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53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ht="18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53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ht="18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53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ht="18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53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ht="18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53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ht="18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53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ht="18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53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ht="18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53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ht="18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53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ht="18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53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ht="18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53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ht="18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53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ht="18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53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ht="18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53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ht="18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53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ht="18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53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ht="18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53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ht="18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53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ht="18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53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ht="18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53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ht="18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53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ht="18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53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ht="18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53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ht="18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53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ht="18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53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ht="18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53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ht="18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53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ht="18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53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ht="18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53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ht="18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53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ht="18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53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ht="18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53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ht="18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53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ht="18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53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ht="18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53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ht="18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53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ht="18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53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ht="18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53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ht="18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53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ht="18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53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ht="18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53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ht="18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53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ht="18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53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ht="18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53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ht="18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53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ht="18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53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ht="18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53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ht="18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53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ht="18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53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ht="18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53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ht="18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53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ht="18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53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ht="18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53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ht="18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53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ht="18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53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ht="18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53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ht="18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53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ht="18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53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ht="18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53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ht="18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53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ht="18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53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ht="18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53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ht="18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53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ht="18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53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ht="18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53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ht="18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53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ht="18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53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ht="18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53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ht="18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53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ht="18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53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ht="18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53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ht="18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53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ht="18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53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ht="18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53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ht="18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53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ht="18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53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ht="18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53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ht="18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53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ht="18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53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ht="18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53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ht="18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53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ht="18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53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ht="18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53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ht="18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53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ht="18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53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ht="18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53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ht="18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53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ht="18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53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ht="18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53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ht="18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53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ht="18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53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ht="18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53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ht="18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53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ht="18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53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ht="18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53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ht="18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53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ht="18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53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ht="18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53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ht="18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53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ht="18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53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ht="18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53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ht="18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53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ht="18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53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ht="18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53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ht="18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53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ht="18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53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ht="18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53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ht="18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53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ht="18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53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ht="18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53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ht="18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53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ht="18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53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ht="18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53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ht="18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53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ht="18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53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ht="18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53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ht="18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53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ht="18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53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ht="18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53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ht="18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53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ht="18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53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ht="18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53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ht="18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53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ht="18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53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ht="18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53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ht="18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53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ht="18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53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ht="18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53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ht="18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53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ht="18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53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ht="18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53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ht="18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53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ht="18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53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ht="18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53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ht="18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53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ht="18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53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ht="18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53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ht="18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53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ht="18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53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ht="18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53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ht="18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53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ht="18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53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ht="18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53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ht="18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53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ht="18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53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ht="18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53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ht="18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53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ht="18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53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ht="18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5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ht="18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5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ht="18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53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ht="18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53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ht="18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53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ht="18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5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ht="18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5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ht="18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53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ht="18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53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ht="18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53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ht="18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53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ht="18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53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ht="18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53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ht="18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53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ht="18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53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ht="18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53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ht="18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53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ht="18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53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ht="18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53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ht="18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53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ht="18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53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ht="18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53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ht="18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53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ht="18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53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ht="18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53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ht="18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53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ht="18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53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ht="18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53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ht="18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53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ht="18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53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ht="18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53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ht="18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53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ht="18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53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ht="18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53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ht="18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53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ht="18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53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ht="18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53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ht="18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53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ht="18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53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ht="18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53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ht="18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53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ht="18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53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ht="18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53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ht="18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53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ht="18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53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ht="18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53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ht="18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53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ht="18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53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ht="18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53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ht="18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53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ht="18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53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ht="18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53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ht="18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53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ht="18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53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ht="18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53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ht="18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53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ht="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53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ht="18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53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ht="18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53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ht="18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53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ht="18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53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ht="18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5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ht="18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5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ht="18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53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ht="18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53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ht="18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53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ht="18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53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ht="18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53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ht="18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53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ht="18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53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ht="18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53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ht="18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53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ht="18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53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ht="18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53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ht="18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53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ht="18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53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ht="18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53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ht="18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53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ht="18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53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ht="18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53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ht="18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53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ht="18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53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ht="18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53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ht="18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53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ht="18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53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ht="18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53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ht="18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53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ht="18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53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ht="18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53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ht="18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53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ht="18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53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ht="18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53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ht="18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53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ht="18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53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ht="18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53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ht="18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53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ht="18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53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ht="18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53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ht="18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53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ht="18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53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ht="18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53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ht="18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53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ht="18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53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ht="18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53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ht="18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53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ht="18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53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ht="18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53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ht="18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53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ht="18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53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ht="18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53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</sheetData>
  <mergeCells count="2">
    <mergeCell ref="D2:O2"/>
    <mergeCell ref="S2:AD2"/>
  </mergeCells>
  <printOptions/>
  <pageMargins bottom="0.3" footer="0.0" header="0.0" left="0.7" right="0.7" top="0.3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7AC"/>
    <pageSetUpPr/>
  </sheetPr>
  <sheetViews>
    <sheetView workbookViewId="0"/>
  </sheetViews>
  <sheetFormatPr customHeight="1" defaultColWidth="11.22" defaultRowHeight="15.0"/>
  <cols>
    <col customWidth="1" min="1" max="2" width="11.78"/>
    <col customWidth="1" min="3" max="3" width="47.56"/>
    <col customWidth="1" min="4" max="4" width="21.11"/>
    <col customWidth="1" min="5" max="5" width="11.78"/>
    <col customWidth="1" min="6" max="7" width="20.11"/>
    <col customWidth="1" min="8" max="11" width="11.78"/>
    <col customWidth="1" min="12" max="26" width="8.56"/>
  </cols>
  <sheetData>
    <row r="1" ht="18.75" customHeight="1">
      <c r="A1" s="1"/>
      <c r="B1" s="1"/>
      <c r="C1" s="83" t="s">
        <v>78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1"/>
      <c r="B2" s="1"/>
      <c r="C2" s="5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1"/>
      <c r="B3" s="1"/>
      <c r="C3" s="85" t="s">
        <v>79</v>
      </c>
      <c r="D3" s="86"/>
      <c r="E3" s="53"/>
      <c r="F3" s="53"/>
      <c r="G3" s="53"/>
      <c r="H3" s="53"/>
      <c r="I3" s="53"/>
      <c r="J3" s="53"/>
      <c r="K3" s="5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75" customHeight="1">
      <c r="A4" s="1"/>
      <c r="B4" s="1"/>
      <c r="C4" s="5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53"/>
      <c r="B5" s="53"/>
      <c r="C5" s="53"/>
      <c r="D5" s="87" t="s">
        <v>80</v>
      </c>
      <c r="E5" s="53"/>
      <c r="F5" s="88" t="s">
        <v>81</v>
      </c>
      <c r="G5" s="88" t="s">
        <v>82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8.75" customHeight="1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8.75" customHeight="1">
      <c r="A7" s="1"/>
      <c r="B7" s="1"/>
      <c r="C7" s="38" t="s">
        <v>83</v>
      </c>
      <c r="D7" s="50">
        <f>INGRESOS!P8</f>
        <v>7437.6</v>
      </c>
      <c r="E7" s="1"/>
      <c r="F7" s="80">
        <f t="shared" ref="F7:G7" si="1">SUM(F8)</f>
        <v>24378.8</v>
      </c>
      <c r="G7" s="50">
        <f t="shared" si="1"/>
        <v>32911.38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"/>
      <c r="C8" s="37" t="s">
        <v>84</v>
      </c>
      <c r="D8" s="47">
        <f>INGRESOS!P6</f>
        <v>7437.6</v>
      </c>
      <c r="E8" s="1"/>
      <c r="F8" s="47">
        <f>INGRESOS!AE8</f>
        <v>24378.8</v>
      </c>
      <c r="G8" s="47">
        <f>F8+(F8*35%)</f>
        <v>32911.38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"/>
      <c r="C9" s="37"/>
      <c r="D9" s="4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"/>
      <c r="C10" s="38" t="s">
        <v>85</v>
      </c>
      <c r="D10" s="50">
        <f>SUM(D11:D13)</f>
        <v>22205</v>
      </c>
      <c r="E10" s="1"/>
      <c r="F10" s="80">
        <f t="shared" ref="F10:G10" si="2">SUM(F11:F12)</f>
        <v>21677.5</v>
      </c>
      <c r="G10" s="80">
        <f t="shared" si="2"/>
        <v>22709.5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"/>
      <c r="C11" s="37" t="s">
        <v>86</v>
      </c>
      <c r="D11" s="47">
        <f>COSTES_FIJOS!D20</f>
        <v>20640</v>
      </c>
      <c r="E11" s="1"/>
      <c r="F11" s="47">
        <f>D11+(D11*5%)</f>
        <v>21672</v>
      </c>
      <c r="G11" s="47">
        <f>D11+(D11*10%)</f>
        <v>22704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"/>
      <c r="C12" s="37" t="s">
        <v>87</v>
      </c>
      <c r="D12" s="47">
        <f>COSTES_VARIABLES!E9*INGRESOS!P4</f>
        <v>990</v>
      </c>
      <c r="E12" s="1"/>
      <c r="F12" s="47">
        <f>COSTES_VARIABLES!E9</f>
        <v>5.5</v>
      </c>
      <c r="G12" s="47">
        <f>COSTES_VARIABLES!E9</f>
        <v>5.5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"/>
      <c r="C13" s="37" t="s">
        <v>88</v>
      </c>
      <c r="D13" s="47">
        <f>GASTOS_DE_PUESTA_EN_MARCHA!C19</f>
        <v>575</v>
      </c>
      <c r="E13" s="1"/>
      <c r="F13" s="47">
        <v>0.0</v>
      </c>
      <c r="G13" s="47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"/>
      <c r="C14" s="37"/>
      <c r="D14" s="4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"/>
      <c r="C15" s="29" t="s">
        <v>89</v>
      </c>
      <c r="D15" s="50">
        <f>D7-D10</f>
        <v>-14767.4</v>
      </c>
      <c r="E15" s="1"/>
      <c r="F15" s="80">
        <f t="shared" ref="F15:G15" si="3">F7-F10</f>
        <v>2701.3</v>
      </c>
      <c r="G15" s="50">
        <f t="shared" si="3"/>
        <v>10201.88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"/>
      <c r="C16" s="53"/>
      <c r="D16" s="4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"/>
      <c r="C17" s="37" t="s">
        <v>90</v>
      </c>
      <c r="D17" s="47">
        <f>'INVERSIÓN_EN_INMOVILIZADO'!E7</f>
        <v>0</v>
      </c>
      <c r="E17" s="1"/>
      <c r="F17" s="47">
        <f>D17</f>
        <v>0</v>
      </c>
      <c r="G17" s="47">
        <f>D17</f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"/>
      <c r="C18" s="53"/>
      <c r="D18" s="4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"/>
      <c r="C19" s="29" t="s">
        <v>91</v>
      </c>
      <c r="D19" s="50">
        <f>D15-D17</f>
        <v>-14767.4</v>
      </c>
      <c r="E19" s="1"/>
      <c r="F19" s="80">
        <f t="shared" ref="F19:G19" si="4">F15-F17</f>
        <v>2701.3</v>
      </c>
      <c r="G19" s="50">
        <f t="shared" si="4"/>
        <v>10201.88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"/>
      <c r="C20" s="53"/>
      <c r="D20" s="4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"/>
      <c r="C21" s="37" t="s">
        <v>92</v>
      </c>
      <c r="D21" s="47">
        <v>0.0</v>
      </c>
      <c r="E21" s="1"/>
      <c r="F21" s="47">
        <v>0.0</v>
      </c>
      <c r="G21" s="47">
        <v>0.0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"/>
      <c r="C22" s="53"/>
      <c r="D22" s="4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"/>
      <c r="C23" s="38" t="s">
        <v>93</v>
      </c>
      <c r="D23" s="50">
        <f>D19-D21</f>
        <v>-14767.4</v>
      </c>
      <c r="E23" s="1"/>
      <c r="F23" s="80">
        <f t="shared" ref="F23:G23" si="5">F19-F21</f>
        <v>2701.3</v>
      </c>
      <c r="G23" s="50">
        <f t="shared" si="5"/>
        <v>10201.88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"/>
      <c r="C24" s="53"/>
      <c r="D24" s="4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"/>
      <c r="C25" s="89" t="s">
        <v>94</v>
      </c>
      <c r="D25" s="48">
        <v>0.0</v>
      </c>
      <c r="E25" s="1"/>
      <c r="F25" s="48">
        <f t="shared" ref="F25:G25" si="6">F23*20%</f>
        <v>540.26</v>
      </c>
      <c r="G25" s="48">
        <f t="shared" si="6"/>
        <v>2040.376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90"/>
      <c r="D26" s="4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"/>
      <c r="C27" s="91" t="s">
        <v>95</v>
      </c>
      <c r="D27" s="92">
        <f>D23-D25</f>
        <v>-14767.4</v>
      </c>
      <c r="E27" s="1"/>
      <c r="F27" s="93">
        <f t="shared" ref="F27:G27" si="7">F23-F25</f>
        <v>2161.04</v>
      </c>
      <c r="G27" s="92">
        <f t="shared" si="7"/>
        <v>8161.504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"/>
      <c r="C28" s="53"/>
      <c r="D28" s="1"/>
      <c r="E28" s="1"/>
      <c r="F28" s="37"/>
      <c r="G28" s="3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"/>
      <c r="C29" s="94" t="s">
        <v>96</v>
      </c>
      <c r="D29" s="92">
        <f>D27</f>
        <v>-14767.4</v>
      </c>
      <c r="E29" s="1"/>
      <c r="F29" s="95">
        <f>F27*40%</f>
        <v>864.416</v>
      </c>
      <c r="G29" s="96">
        <f>G27*40%</f>
        <v>3264.6016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"/>
      <c r="C30" s="97" t="s">
        <v>97</v>
      </c>
      <c r="D30" s="98">
        <v>0.0</v>
      </c>
      <c r="E30" s="37"/>
      <c r="F30" s="99">
        <f>F27*60%</f>
        <v>1296.624</v>
      </c>
      <c r="G30" s="100">
        <f>G27*60%</f>
        <v>4896.9024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"/>
      <c r="C31" s="5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"/>
      <c r="C32" s="5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"/>
      <c r="C33" s="5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"/>
      <c r="C34" s="5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"/>
      <c r="C35" s="5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"/>
      <c r="C36" s="5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"/>
      <c r="C37" s="5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"/>
      <c r="C38" s="5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"/>
      <c r="C39" s="5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"/>
      <c r="C40" s="5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"/>
      <c r="C41" s="5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"/>
      <c r="C42" s="5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"/>
      <c r="C43" s="5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"/>
      <c r="C44" s="5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"/>
      <c r="C45" s="5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"/>
      <c r="C46" s="5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"/>
      <c r="C47" s="5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"/>
      <c r="C48" s="5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5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5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"/>
      <c r="C51" s="5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"/>
      <c r="C52" s="5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"/>
      <c r="C53" s="5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"/>
      <c r="C54" s="5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"/>
      <c r="C55" s="5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"/>
      <c r="C56" s="5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"/>
      <c r="C57" s="5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"/>
      <c r="C58" s="5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"/>
      <c r="C59" s="5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"/>
      <c r="C60" s="5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"/>
      <c r="C61" s="5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"/>
      <c r="C62" s="5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"/>
      <c r="C63" s="5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"/>
      <c r="C64" s="5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5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"/>
      <c r="C66" s="5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"/>
      <c r="C67" s="5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"/>
      <c r="C68" s="5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"/>
      <c r="C69" s="5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"/>
      <c r="C70" s="5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"/>
      <c r="C71" s="5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"/>
      <c r="C72" s="5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"/>
      <c r="C73" s="5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"/>
      <c r="C74" s="5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"/>
      <c r="C75" s="5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"/>
      <c r="C76" s="5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"/>
      <c r="C77" s="5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"/>
      <c r="C78" s="5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"/>
      <c r="C79" s="5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"/>
      <c r="C80" s="5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"/>
      <c r="C81" s="5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"/>
      <c r="C82" s="5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"/>
      <c r="C83" s="5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"/>
      <c r="C84" s="5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"/>
      <c r="C85" s="5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"/>
      <c r="C86" s="5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"/>
      <c r="C87" s="5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"/>
      <c r="C88" s="5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"/>
      <c r="C89" s="5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"/>
      <c r="C90" s="5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"/>
      <c r="C91" s="5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"/>
      <c r="C92" s="5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5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5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5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5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5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5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5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5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5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5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5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5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5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5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5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5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5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5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5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5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5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5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5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5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5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5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"/>
      <c r="C119" s="5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"/>
      <c r="C120" s="5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"/>
      <c r="C121" s="5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"/>
      <c r="C122" s="5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"/>
      <c r="C123" s="5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5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5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5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5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5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5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5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5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5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5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5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5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5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5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5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5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5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"/>
      <c r="C141" s="5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1"/>
      <c r="C142" s="5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1"/>
      <c r="C143" s="5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1"/>
      <c r="C144" s="5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1"/>
      <c r="C145" s="5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1"/>
      <c r="C146" s="5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1"/>
      <c r="C147" s="5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1"/>
      <c r="C148" s="5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1"/>
      <c r="C149" s="5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1"/>
      <c r="C150" s="5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1"/>
      <c r="C151" s="5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1"/>
      <c r="C152" s="5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1"/>
      <c r="C153" s="5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1"/>
      <c r="C154" s="5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1"/>
      <c r="C155" s="5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1"/>
      <c r="C156" s="5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1"/>
      <c r="C157" s="5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1"/>
      <c r="C158" s="5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"/>
      <c r="C159" s="5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1"/>
      <c r="C160" s="5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1"/>
      <c r="C161" s="5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1"/>
      <c r="C162" s="5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1"/>
      <c r="C163" s="5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1"/>
      <c r="C164" s="5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1"/>
      <c r="C165" s="5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1"/>
      <c r="C166" s="5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1"/>
      <c r="C167" s="5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1"/>
      <c r="C168" s="5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1"/>
      <c r="C169" s="5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1"/>
      <c r="C170" s="5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5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5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1"/>
      <c r="C173" s="5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1"/>
      <c r="C174" s="5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1"/>
      <c r="C175" s="5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1"/>
      <c r="C176" s="5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1"/>
      <c r="C177" s="5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1"/>
      <c r="C178" s="5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1"/>
      <c r="C179" s="5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1"/>
      <c r="C180" s="5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1"/>
      <c r="C181" s="5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1"/>
      <c r="C182" s="5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1"/>
      <c r="C183" s="5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1"/>
      <c r="C184" s="5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1"/>
      <c r="C185" s="5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1"/>
      <c r="C186" s="5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1"/>
      <c r="C187" s="5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1"/>
      <c r="C188" s="5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1"/>
      <c r="C189" s="5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1"/>
      <c r="C190" s="5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1"/>
      <c r="C191" s="5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1"/>
      <c r="C192" s="5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1"/>
      <c r="C193" s="5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1"/>
      <c r="C194" s="5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1"/>
      <c r="C195" s="5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1"/>
      <c r="C196" s="5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1"/>
      <c r="C197" s="5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1"/>
      <c r="C198" s="5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1"/>
      <c r="C199" s="5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1"/>
      <c r="C200" s="5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1"/>
      <c r="C201" s="5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1"/>
      <c r="C202" s="5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1"/>
      <c r="C203" s="5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1"/>
      <c r="C204" s="5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1"/>
      <c r="C205" s="5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1"/>
      <c r="C206" s="5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1"/>
      <c r="C207" s="5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1"/>
      <c r="C208" s="5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1"/>
      <c r="C209" s="5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1"/>
      <c r="C210" s="5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1"/>
      <c r="C211" s="5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1"/>
      <c r="C212" s="5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1"/>
      <c r="C213" s="5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1"/>
      <c r="C214" s="5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1"/>
      <c r="C215" s="5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1"/>
      <c r="C216" s="5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1"/>
      <c r="C217" s="5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1"/>
      <c r="C218" s="5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1"/>
      <c r="C219" s="5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1"/>
      <c r="C220" s="5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1"/>
      <c r="C221" s="5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1"/>
      <c r="C222" s="5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1"/>
      <c r="C223" s="5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1"/>
      <c r="C224" s="5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1"/>
      <c r="C225" s="5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1"/>
      <c r="C226" s="5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1"/>
      <c r="C227" s="5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1"/>
      <c r="C228" s="5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1"/>
      <c r="C229" s="5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1"/>
      <c r="C230" s="5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1"/>
      <c r="C231" s="5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1"/>
      <c r="C232" s="5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1"/>
      <c r="C233" s="5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1"/>
      <c r="C234" s="5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1"/>
      <c r="C235" s="5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1"/>
      <c r="C236" s="5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1"/>
      <c r="C237" s="5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1"/>
      <c r="C238" s="5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1"/>
      <c r="C239" s="5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1"/>
      <c r="C240" s="5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1"/>
      <c r="C241" s="5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1"/>
      <c r="C242" s="5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1"/>
      <c r="C243" s="5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1"/>
      <c r="C244" s="5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1"/>
      <c r="C245" s="5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1"/>
      <c r="C246" s="5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1"/>
      <c r="C247" s="5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1"/>
      <c r="C248" s="5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1"/>
      <c r="C249" s="5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1"/>
      <c r="C250" s="5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1"/>
      <c r="C251" s="5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1"/>
      <c r="C252" s="5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1"/>
      <c r="C253" s="5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1"/>
      <c r="C254" s="5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1"/>
      <c r="C255" s="5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1"/>
      <c r="C256" s="5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1"/>
      <c r="C257" s="5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1"/>
      <c r="C258" s="5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1"/>
      <c r="C259" s="5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1"/>
      <c r="C260" s="5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1"/>
      <c r="C261" s="5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1"/>
      <c r="C262" s="5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1"/>
      <c r="C263" s="5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1"/>
      <c r="C264" s="5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1"/>
      <c r="C265" s="5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1"/>
      <c r="C266" s="5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1"/>
      <c r="C267" s="5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1"/>
      <c r="C268" s="5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1"/>
      <c r="C269" s="5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1"/>
      <c r="C270" s="5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1"/>
      <c r="C271" s="5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1"/>
      <c r="C272" s="5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1"/>
      <c r="C273" s="5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1"/>
      <c r="C274" s="5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1"/>
      <c r="C275" s="5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1"/>
      <c r="C276" s="5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1"/>
      <c r="C277" s="5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1"/>
      <c r="C278" s="5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1"/>
      <c r="C279" s="5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1"/>
      <c r="C280" s="5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1"/>
      <c r="C281" s="5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1"/>
      <c r="C282" s="5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1"/>
      <c r="C283" s="5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1"/>
      <c r="C284" s="5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1"/>
      <c r="C285" s="5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1"/>
      <c r="C286" s="5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1"/>
      <c r="C287" s="5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1"/>
      <c r="C288" s="5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1"/>
      <c r="C289" s="5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1"/>
      <c r="C290" s="5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1"/>
      <c r="C291" s="5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1"/>
      <c r="C292" s="5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1"/>
      <c r="C293" s="5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1"/>
      <c r="C294" s="5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1"/>
      <c r="C295" s="5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1"/>
      <c r="C296" s="5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1"/>
      <c r="C297" s="5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1"/>
      <c r="C298" s="5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1"/>
      <c r="C299" s="5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1"/>
      <c r="C300" s="5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1"/>
      <c r="C301" s="5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1"/>
      <c r="C302" s="5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1"/>
      <c r="C303" s="5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1"/>
      <c r="C304" s="5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1"/>
      <c r="C305" s="5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1"/>
      <c r="C306" s="5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1"/>
      <c r="C307" s="5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1"/>
      <c r="C308" s="5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1"/>
      <c r="C309" s="5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1"/>
      <c r="C310" s="5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1"/>
      <c r="C311" s="5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1"/>
      <c r="C312" s="5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1"/>
      <c r="C313" s="5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1"/>
      <c r="C314" s="5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1"/>
      <c r="C315" s="5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1"/>
      <c r="C316" s="5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1"/>
      <c r="C317" s="5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1"/>
      <c r="C318" s="5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1"/>
      <c r="C319" s="5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1"/>
      <c r="C320" s="5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1"/>
      <c r="C321" s="5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1"/>
      <c r="C322" s="5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1"/>
      <c r="C323" s="5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1"/>
      <c r="C324" s="5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1"/>
      <c r="C325" s="5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1"/>
      <c r="C326" s="5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1"/>
      <c r="C327" s="5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1"/>
      <c r="C328" s="5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1"/>
      <c r="C329" s="5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1"/>
      <c r="C330" s="5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1"/>
      <c r="C331" s="5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1"/>
      <c r="C332" s="5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1"/>
      <c r="C333" s="5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1"/>
      <c r="C334" s="5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1"/>
      <c r="C335" s="5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1"/>
      <c r="C336" s="5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1"/>
      <c r="C337" s="5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1"/>
      <c r="C338" s="5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1"/>
      <c r="C339" s="5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1"/>
      <c r="C340" s="5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1"/>
      <c r="C341" s="5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1"/>
      <c r="C342" s="5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1"/>
      <c r="C343" s="5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1"/>
      <c r="C344" s="5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1"/>
      <c r="C345" s="5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1"/>
      <c r="C346" s="5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1"/>
      <c r="C347" s="5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1"/>
      <c r="C348" s="5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1"/>
      <c r="C349" s="5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1"/>
      <c r="C350" s="5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1"/>
      <c r="C351" s="5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1"/>
      <c r="C352" s="5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1"/>
      <c r="C353" s="5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1"/>
      <c r="C354" s="5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1"/>
      <c r="C355" s="5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1"/>
      <c r="C356" s="5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1"/>
      <c r="C357" s="5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1"/>
      <c r="C358" s="5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1"/>
      <c r="C359" s="5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1"/>
      <c r="C360" s="5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1"/>
      <c r="C361" s="5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1"/>
      <c r="C362" s="5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1"/>
      <c r="C363" s="5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1"/>
      <c r="C364" s="5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1"/>
      <c r="C365" s="5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1"/>
      <c r="C366" s="5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1"/>
      <c r="C367" s="5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1"/>
      <c r="C368" s="5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1"/>
      <c r="C369" s="5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1"/>
      <c r="C370" s="5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1"/>
      <c r="C371" s="5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1"/>
      <c r="C372" s="5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1"/>
      <c r="C373" s="5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1"/>
      <c r="C374" s="5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1"/>
      <c r="C375" s="5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1"/>
      <c r="C376" s="5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1"/>
      <c r="C377" s="5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1"/>
      <c r="C378" s="5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1"/>
      <c r="C379" s="5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1"/>
      <c r="C380" s="5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1"/>
      <c r="C381" s="5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1"/>
      <c r="C382" s="5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1"/>
      <c r="C383" s="5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1"/>
      <c r="C384" s="5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1"/>
      <c r="C385" s="5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1"/>
      <c r="C386" s="5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1"/>
      <c r="C387" s="5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1"/>
      <c r="C388" s="5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1"/>
      <c r="C389" s="5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1"/>
      <c r="C390" s="5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1"/>
      <c r="C391" s="5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1"/>
      <c r="C392" s="5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1"/>
      <c r="C393" s="5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1"/>
      <c r="C394" s="5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1"/>
      <c r="C395" s="5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1"/>
      <c r="C396" s="5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1"/>
      <c r="C397" s="5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1"/>
      <c r="C398" s="5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1"/>
      <c r="C399" s="5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1"/>
      <c r="C400" s="5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1"/>
      <c r="C401" s="5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1"/>
      <c r="C402" s="5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1"/>
      <c r="C403" s="5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1"/>
      <c r="C404" s="5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1"/>
      <c r="C405" s="5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1"/>
      <c r="C406" s="5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1"/>
      <c r="C407" s="5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1"/>
      <c r="C408" s="5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1"/>
      <c r="C409" s="5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1"/>
      <c r="C410" s="5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1"/>
      <c r="C411" s="5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1"/>
      <c r="C412" s="5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1"/>
      <c r="C413" s="5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1"/>
      <c r="C414" s="5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1"/>
      <c r="C415" s="5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1"/>
      <c r="C416" s="5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1"/>
      <c r="C417" s="5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1"/>
      <c r="C418" s="5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1"/>
      <c r="C419" s="5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1"/>
      <c r="C420" s="5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1"/>
      <c r="C421" s="5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1"/>
      <c r="C422" s="5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1"/>
      <c r="C423" s="5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1"/>
      <c r="C424" s="5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1"/>
      <c r="C425" s="5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1"/>
      <c r="C426" s="5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1"/>
      <c r="C427" s="5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1"/>
      <c r="C428" s="5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1"/>
      <c r="C429" s="5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1"/>
      <c r="C430" s="5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1"/>
      <c r="C431" s="5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1"/>
      <c r="C432" s="5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1"/>
      <c r="C433" s="5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1"/>
      <c r="C434" s="5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1"/>
      <c r="C435" s="5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1"/>
      <c r="C436" s="5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1"/>
      <c r="C437" s="5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1"/>
      <c r="C438" s="5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1"/>
      <c r="C439" s="5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1"/>
      <c r="C440" s="5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1"/>
      <c r="C441" s="5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1"/>
      <c r="C442" s="5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1"/>
      <c r="C443" s="5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1"/>
      <c r="C444" s="5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1"/>
      <c r="C445" s="5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1"/>
      <c r="C446" s="5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1"/>
      <c r="C447" s="5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1"/>
      <c r="C448" s="5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1"/>
      <c r="C449" s="5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1"/>
      <c r="C450" s="5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1"/>
      <c r="C451" s="5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1"/>
      <c r="C452" s="5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1"/>
      <c r="C453" s="5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1"/>
      <c r="C454" s="5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1"/>
      <c r="C455" s="5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1"/>
      <c r="C456" s="5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1"/>
      <c r="C457" s="5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1"/>
      <c r="C458" s="5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1"/>
      <c r="C459" s="5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1"/>
      <c r="C460" s="5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1"/>
      <c r="C461" s="5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1"/>
      <c r="C462" s="5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1"/>
      <c r="C463" s="5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1"/>
      <c r="C464" s="5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1"/>
      <c r="C465" s="5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1"/>
      <c r="C466" s="5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1"/>
      <c r="C467" s="5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1"/>
      <c r="C468" s="5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1"/>
      <c r="C469" s="5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1"/>
      <c r="C470" s="5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1"/>
      <c r="C471" s="5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1"/>
      <c r="C472" s="5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1"/>
      <c r="C473" s="5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1"/>
      <c r="C474" s="5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1"/>
      <c r="C475" s="5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1"/>
      <c r="C476" s="5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1"/>
      <c r="C477" s="5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1"/>
      <c r="C478" s="5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1"/>
      <c r="C479" s="5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1"/>
      <c r="C480" s="5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1"/>
      <c r="C481" s="5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1"/>
      <c r="C482" s="5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1"/>
      <c r="C483" s="5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1"/>
      <c r="C484" s="5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1"/>
      <c r="C485" s="5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1"/>
      <c r="C486" s="5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1"/>
      <c r="C487" s="5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1"/>
      <c r="C488" s="5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1"/>
      <c r="C489" s="5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1"/>
      <c r="C490" s="5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1"/>
      <c r="C491" s="5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1"/>
      <c r="C492" s="5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1"/>
      <c r="C493" s="5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1"/>
      <c r="C494" s="5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1"/>
      <c r="C495" s="5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1"/>
      <c r="C496" s="5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1"/>
      <c r="C497" s="5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1"/>
      <c r="C498" s="5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1"/>
      <c r="C499" s="5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1"/>
      <c r="C500" s="5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1"/>
      <c r="C501" s="5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1"/>
      <c r="C502" s="5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1"/>
      <c r="C503" s="5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1"/>
      <c r="C504" s="5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1"/>
      <c r="C505" s="5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1"/>
      <c r="C506" s="5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1"/>
      <c r="C507" s="5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1"/>
      <c r="C508" s="5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1"/>
      <c r="C509" s="5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1"/>
      <c r="C510" s="5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1"/>
      <c r="C511" s="5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1"/>
      <c r="C512" s="5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1"/>
      <c r="C513" s="5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1"/>
      <c r="C514" s="5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1"/>
      <c r="C515" s="5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1"/>
      <c r="C516" s="5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1"/>
      <c r="C517" s="5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1"/>
      <c r="C518" s="5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1"/>
      <c r="C519" s="5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1"/>
      <c r="C520" s="5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1"/>
      <c r="C521" s="5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1"/>
      <c r="C522" s="5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1"/>
      <c r="C523" s="5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1"/>
      <c r="C524" s="5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1"/>
      <c r="C525" s="5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1"/>
      <c r="C526" s="5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1"/>
      <c r="C527" s="5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1"/>
      <c r="C528" s="5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1"/>
      <c r="C529" s="5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1"/>
      <c r="C530" s="5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1"/>
      <c r="C531" s="5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1"/>
      <c r="C532" s="5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1"/>
      <c r="C533" s="5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1"/>
      <c r="C534" s="5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1"/>
      <c r="C535" s="5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1"/>
      <c r="C536" s="5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1"/>
      <c r="C537" s="5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1"/>
      <c r="C538" s="5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1"/>
      <c r="C539" s="5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1"/>
      <c r="C540" s="5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1"/>
      <c r="C541" s="5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1"/>
      <c r="C542" s="5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1"/>
      <c r="C543" s="5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1"/>
      <c r="C544" s="5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1"/>
      <c r="C545" s="5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1"/>
      <c r="C546" s="5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1"/>
      <c r="C547" s="5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1"/>
      <c r="C548" s="5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1"/>
      <c r="C549" s="5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1"/>
      <c r="C550" s="5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1"/>
      <c r="C551" s="5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1"/>
      <c r="C552" s="5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1"/>
      <c r="C553" s="5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1"/>
      <c r="C554" s="5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1"/>
      <c r="C555" s="5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1"/>
      <c r="C556" s="5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1"/>
      <c r="C557" s="5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1"/>
      <c r="C558" s="5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1"/>
      <c r="C559" s="5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1"/>
      <c r="C560" s="5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1"/>
      <c r="C561" s="5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1"/>
      <c r="C562" s="5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1"/>
      <c r="C563" s="5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1"/>
      <c r="C564" s="5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1"/>
      <c r="C565" s="5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1"/>
      <c r="C566" s="5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1"/>
      <c r="C567" s="5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1"/>
      <c r="C568" s="5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1"/>
      <c r="C569" s="5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1"/>
      <c r="C570" s="5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1"/>
      <c r="C571" s="5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1"/>
      <c r="C572" s="5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1"/>
      <c r="C573" s="5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1"/>
      <c r="C574" s="5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1"/>
      <c r="C575" s="5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1"/>
      <c r="C576" s="5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1"/>
      <c r="C577" s="5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1"/>
      <c r="C578" s="5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1"/>
      <c r="C579" s="5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1"/>
      <c r="C580" s="5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1"/>
      <c r="C581" s="5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1"/>
      <c r="C582" s="5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1"/>
      <c r="C583" s="5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1"/>
      <c r="C584" s="5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1"/>
      <c r="C585" s="5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1"/>
      <c r="C586" s="5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1"/>
      <c r="C587" s="5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1"/>
      <c r="C588" s="5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1"/>
      <c r="C589" s="5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1"/>
      <c r="C590" s="5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1"/>
      <c r="C591" s="5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1"/>
      <c r="C592" s="5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1"/>
      <c r="C593" s="5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1"/>
      <c r="C594" s="5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1"/>
      <c r="C595" s="5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1"/>
      <c r="C596" s="5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1"/>
      <c r="C597" s="5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1"/>
      <c r="C598" s="5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1"/>
      <c r="C599" s="5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1"/>
      <c r="C600" s="5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1"/>
      <c r="C601" s="5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1"/>
      <c r="C602" s="5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1"/>
      <c r="C603" s="5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1"/>
      <c r="C604" s="5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1"/>
      <c r="C605" s="5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1"/>
      <c r="C606" s="5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1"/>
      <c r="C607" s="5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1"/>
      <c r="C608" s="5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1"/>
      <c r="C609" s="5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1"/>
      <c r="C610" s="5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1"/>
      <c r="C611" s="5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1"/>
      <c r="C612" s="5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1"/>
      <c r="C613" s="5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1"/>
      <c r="C614" s="5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1"/>
      <c r="C615" s="5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1"/>
      <c r="C616" s="5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1"/>
      <c r="C617" s="5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1"/>
      <c r="C618" s="5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1"/>
      <c r="C619" s="5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1"/>
      <c r="C620" s="5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1"/>
      <c r="C621" s="5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1"/>
      <c r="C622" s="5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1"/>
      <c r="C623" s="5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1"/>
      <c r="C624" s="5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1"/>
      <c r="C625" s="5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1"/>
      <c r="C626" s="5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1"/>
      <c r="C627" s="5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1"/>
      <c r="C628" s="5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1"/>
      <c r="C629" s="5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1"/>
      <c r="C630" s="5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1"/>
      <c r="C631" s="5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1"/>
      <c r="C632" s="5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1"/>
      <c r="C633" s="5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1"/>
      <c r="C634" s="5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1"/>
      <c r="C635" s="5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1"/>
      <c r="C636" s="5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1"/>
      <c r="C637" s="5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1"/>
      <c r="C638" s="5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1"/>
      <c r="C639" s="5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1"/>
      <c r="C640" s="5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1"/>
      <c r="C641" s="5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1"/>
      <c r="C642" s="5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1"/>
      <c r="C643" s="5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1"/>
      <c r="C644" s="5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1"/>
      <c r="C645" s="5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1"/>
      <c r="C646" s="5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1"/>
      <c r="C647" s="5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1"/>
      <c r="C648" s="5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1"/>
      <c r="C649" s="5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1"/>
      <c r="C650" s="5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1"/>
      <c r="C651" s="5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1"/>
      <c r="C652" s="5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1"/>
      <c r="C653" s="5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1"/>
      <c r="C654" s="5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1"/>
      <c r="C655" s="5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1"/>
      <c r="C656" s="5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1"/>
      <c r="C657" s="5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1"/>
      <c r="C658" s="5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1"/>
      <c r="C659" s="5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1"/>
      <c r="C660" s="5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1"/>
      <c r="C661" s="5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1"/>
      <c r="C662" s="5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1"/>
      <c r="C663" s="5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1"/>
      <c r="C664" s="5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1"/>
      <c r="C665" s="5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1"/>
      <c r="C666" s="5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1"/>
      <c r="C667" s="5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1"/>
      <c r="C668" s="5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1"/>
      <c r="C669" s="5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1"/>
      <c r="C670" s="5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1"/>
      <c r="C671" s="5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1"/>
      <c r="C672" s="5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1"/>
      <c r="C673" s="5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1"/>
      <c r="C674" s="5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1"/>
      <c r="C675" s="5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1"/>
      <c r="C676" s="5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1"/>
      <c r="C677" s="5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1"/>
      <c r="C678" s="5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1"/>
      <c r="C679" s="5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1"/>
      <c r="C680" s="5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1"/>
      <c r="C681" s="5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1"/>
      <c r="C682" s="5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1"/>
      <c r="C683" s="5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1"/>
      <c r="C684" s="5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1"/>
      <c r="C685" s="5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1"/>
      <c r="C686" s="5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1"/>
      <c r="C687" s="5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1"/>
      <c r="C688" s="5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1"/>
      <c r="C689" s="5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1"/>
      <c r="C690" s="5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1"/>
      <c r="C691" s="5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1"/>
      <c r="C692" s="5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1"/>
      <c r="C693" s="5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1"/>
      <c r="C694" s="5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1"/>
      <c r="C695" s="5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1"/>
      <c r="C696" s="5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1"/>
      <c r="C697" s="5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1"/>
      <c r="C698" s="5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1"/>
      <c r="C699" s="5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1"/>
      <c r="C700" s="5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1"/>
      <c r="C701" s="5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1"/>
      <c r="C702" s="5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1"/>
      <c r="C703" s="5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1"/>
      <c r="C704" s="5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1"/>
      <c r="C705" s="5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1"/>
      <c r="C706" s="5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1"/>
      <c r="C707" s="5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1"/>
      <c r="C708" s="5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1"/>
      <c r="C709" s="5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1"/>
      <c r="C710" s="5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1"/>
      <c r="C711" s="5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1"/>
      <c r="C712" s="5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1"/>
      <c r="C713" s="5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1"/>
      <c r="C714" s="5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1"/>
      <c r="C715" s="5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1"/>
      <c r="C716" s="5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1"/>
      <c r="C717" s="5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1"/>
      <c r="C718" s="5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1"/>
      <c r="C719" s="5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1"/>
      <c r="C720" s="5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1"/>
      <c r="C721" s="5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1"/>
      <c r="C722" s="5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1"/>
      <c r="C723" s="5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1"/>
      <c r="C724" s="5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1"/>
      <c r="C725" s="5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1"/>
      <c r="C726" s="5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1"/>
      <c r="C727" s="5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1"/>
      <c r="C728" s="5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1"/>
      <c r="C729" s="5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1"/>
      <c r="C730" s="5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1"/>
      <c r="C731" s="5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1"/>
      <c r="C732" s="5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1"/>
      <c r="C733" s="5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1"/>
      <c r="C734" s="5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1"/>
      <c r="C735" s="5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1"/>
      <c r="C736" s="5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1"/>
      <c r="C737" s="5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1"/>
      <c r="C738" s="5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1"/>
      <c r="C739" s="5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1"/>
      <c r="C740" s="5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1"/>
      <c r="C741" s="5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1"/>
      <c r="C742" s="5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1"/>
      <c r="C743" s="5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1"/>
      <c r="C744" s="5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1"/>
      <c r="C745" s="5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1"/>
      <c r="C746" s="5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1"/>
      <c r="C747" s="5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1"/>
      <c r="C748" s="5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1"/>
      <c r="C749" s="5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1"/>
      <c r="C750" s="5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1"/>
      <c r="C751" s="5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1"/>
      <c r="C752" s="5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1"/>
      <c r="C753" s="5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1"/>
      <c r="C754" s="5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1"/>
      <c r="C755" s="5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1"/>
      <c r="C756" s="5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1"/>
      <c r="C757" s="5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1"/>
      <c r="C758" s="5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1"/>
      <c r="C759" s="5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1"/>
      <c r="C760" s="5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1"/>
      <c r="C761" s="5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1"/>
      <c r="C762" s="5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1"/>
      <c r="C763" s="5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1"/>
      <c r="C764" s="5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1"/>
      <c r="C765" s="5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1"/>
      <c r="C766" s="5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1"/>
      <c r="C767" s="5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1"/>
      <c r="C768" s="5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1"/>
      <c r="C769" s="5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1"/>
      <c r="C770" s="5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1"/>
      <c r="C771" s="5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1"/>
      <c r="C772" s="5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1"/>
      <c r="C773" s="5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1"/>
      <c r="C774" s="5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1"/>
      <c r="C775" s="5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1"/>
      <c r="C776" s="5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1"/>
      <c r="C777" s="5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1"/>
      <c r="C778" s="5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1"/>
      <c r="C779" s="5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1"/>
      <c r="C780" s="5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1"/>
      <c r="C781" s="5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1"/>
      <c r="C782" s="5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1"/>
      <c r="C783" s="5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1"/>
      <c r="C784" s="5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1"/>
      <c r="C785" s="5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1"/>
      <c r="C786" s="5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1"/>
      <c r="C787" s="5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1"/>
      <c r="C788" s="5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1"/>
      <c r="C789" s="5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1"/>
      <c r="C790" s="5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1"/>
      <c r="C791" s="5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1"/>
      <c r="C792" s="5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1"/>
      <c r="C793" s="5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1"/>
      <c r="C794" s="5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1"/>
      <c r="C795" s="5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1"/>
      <c r="C796" s="5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1"/>
      <c r="C797" s="5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1"/>
      <c r="C798" s="5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1"/>
      <c r="C799" s="5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1"/>
      <c r="C800" s="5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1"/>
      <c r="C801" s="5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1"/>
      <c r="C802" s="5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1"/>
      <c r="C803" s="5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1"/>
      <c r="C804" s="5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1"/>
      <c r="C805" s="5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1"/>
      <c r="C806" s="5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1"/>
      <c r="C807" s="5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1"/>
      <c r="C808" s="5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1"/>
      <c r="C809" s="5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1"/>
      <c r="C810" s="5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1"/>
      <c r="C811" s="5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1"/>
      <c r="C812" s="5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1"/>
      <c r="C813" s="5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1"/>
      <c r="C814" s="5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1"/>
      <c r="C815" s="5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1"/>
      <c r="C816" s="5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1"/>
      <c r="C817" s="5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1"/>
      <c r="C818" s="5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1"/>
      <c r="C819" s="5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1"/>
      <c r="C820" s="5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1"/>
      <c r="C821" s="5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1"/>
      <c r="C822" s="5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1"/>
      <c r="C823" s="5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1"/>
      <c r="C824" s="5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1"/>
      <c r="C825" s="5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1"/>
      <c r="C826" s="5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1"/>
      <c r="C827" s="5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1"/>
      <c r="C828" s="5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1"/>
      <c r="C829" s="5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1"/>
      <c r="C830" s="5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1"/>
      <c r="C831" s="5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1"/>
      <c r="C832" s="5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1"/>
      <c r="C833" s="5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1"/>
      <c r="C834" s="5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1"/>
      <c r="C835" s="5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1"/>
      <c r="C836" s="5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1"/>
      <c r="C837" s="5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1"/>
      <c r="C838" s="5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1"/>
      <c r="C839" s="5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1"/>
      <c r="C840" s="5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1"/>
      <c r="C841" s="5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1"/>
      <c r="C842" s="5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1"/>
      <c r="C843" s="5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1"/>
      <c r="C844" s="5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1"/>
      <c r="C845" s="5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1"/>
      <c r="C846" s="5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1"/>
      <c r="C847" s="5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1"/>
      <c r="C848" s="5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1"/>
      <c r="C849" s="5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1"/>
      <c r="C850" s="5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1"/>
      <c r="C851" s="5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1"/>
      <c r="C852" s="5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1"/>
      <c r="C853" s="5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1"/>
      <c r="C854" s="5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1"/>
      <c r="C855" s="5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1"/>
      <c r="C856" s="5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1"/>
      <c r="C857" s="5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1"/>
      <c r="C858" s="5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1"/>
      <c r="C859" s="5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1"/>
      <c r="C860" s="5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1"/>
      <c r="C861" s="5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1"/>
      <c r="C862" s="5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1"/>
      <c r="C863" s="5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1"/>
      <c r="C864" s="5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1"/>
      <c r="C865" s="5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1"/>
      <c r="C866" s="5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1"/>
      <c r="C867" s="5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1"/>
      <c r="C868" s="5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1"/>
      <c r="C869" s="5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1"/>
      <c r="C870" s="5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1"/>
      <c r="C871" s="5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1"/>
      <c r="C872" s="5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1"/>
      <c r="C873" s="5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1"/>
      <c r="C874" s="5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1"/>
      <c r="C875" s="5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1"/>
      <c r="C876" s="5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1"/>
      <c r="C877" s="5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1"/>
      <c r="C878" s="5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1"/>
      <c r="C879" s="5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1"/>
      <c r="C880" s="5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1"/>
      <c r="C881" s="5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1"/>
      <c r="C882" s="5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1"/>
      <c r="C883" s="5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1"/>
      <c r="C884" s="5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1"/>
      <c r="C885" s="5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1"/>
      <c r="C886" s="5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1"/>
      <c r="C887" s="5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1"/>
      <c r="C888" s="5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1"/>
      <c r="C889" s="5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1"/>
      <c r="C890" s="5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1"/>
      <c r="C891" s="5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1"/>
      <c r="C892" s="5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1"/>
      <c r="C893" s="5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1"/>
      <c r="C894" s="5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1"/>
      <c r="C895" s="5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1"/>
      <c r="C896" s="5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1"/>
      <c r="C897" s="5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1"/>
      <c r="C898" s="5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1"/>
      <c r="C899" s="5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1"/>
      <c r="C900" s="5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1"/>
      <c r="C901" s="5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1"/>
      <c r="C902" s="5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1"/>
      <c r="C903" s="5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1"/>
      <c r="C904" s="5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1"/>
      <c r="C905" s="5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1"/>
      <c r="C906" s="5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1"/>
      <c r="C907" s="5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1"/>
      <c r="C908" s="5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1"/>
      <c r="C909" s="5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1"/>
      <c r="C910" s="5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1"/>
      <c r="C911" s="5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1"/>
      <c r="C912" s="5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1"/>
      <c r="C913" s="5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1"/>
      <c r="C914" s="5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1"/>
      <c r="C915" s="5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1"/>
      <c r="C916" s="5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1"/>
      <c r="C917" s="5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1"/>
      <c r="C918" s="5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1"/>
      <c r="C919" s="5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1"/>
      <c r="C920" s="5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1"/>
      <c r="C921" s="5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1"/>
      <c r="C922" s="5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1"/>
      <c r="C923" s="5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1"/>
      <c r="C924" s="5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1"/>
      <c r="C925" s="5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1"/>
      <c r="C926" s="5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1"/>
      <c r="C927" s="5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1"/>
      <c r="C928" s="5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1"/>
      <c r="C929" s="5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1"/>
      <c r="C930" s="5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1"/>
      <c r="C931" s="5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1"/>
      <c r="C932" s="5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1"/>
      <c r="C933" s="5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1"/>
      <c r="C934" s="5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1"/>
      <c r="C935" s="5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1"/>
      <c r="C936" s="5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1"/>
      <c r="C937" s="5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1"/>
      <c r="C938" s="5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1"/>
      <c r="C939" s="5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1"/>
      <c r="C940" s="5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1"/>
      <c r="C941" s="5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1"/>
      <c r="C942" s="5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1"/>
      <c r="C943" s="5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1"/>
      <c r="C944" s="5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1"/>
      <c r="C945" s="5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1"/>
      <c r="C946" s="5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1"/>
      <c r="C947" s="5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1"/>
      <c r="C948" s="5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1"/>
      <c r="C949" s="5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1"/>
      <c r="C950" s="5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1"/>
      <c r="C951" s="5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1"/>
      <c r="C952" s="5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1"/>
      <c r="C953" s="5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1"/>
      <c r="C954" s="5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1"/>
      <c r="C955" s="5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1"/>
      <c r="C956" s="5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1"/>
      <c r="C957" s="5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1"/>
      <c r="C958" s="5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1"/>
      <c r="C959" s="5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1"/>
      <c r="C960" s="5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1"/>
      <c r="C961" s="5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1"/>
      <c r="C962" s="5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1"/>
      <c r="C963" s="5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1"/>
      <c r="C964" s="5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1"/>
      <c r="C965" s="5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1"/>
      <c r="C966" s="5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1"/>
      <c r="C967" s="5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1"/>
      <c r="C968" s="5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1"/>
      <c r="C969" s="5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1"/>
      <c r="C970" s="5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1"/>
      <c r="C971" s="5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1"/>
      <c r="C972" s="5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1"/>
      <c r="C973" s="5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1"/>
      <c r="C974" s="5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1"/>
      <c r="C975" s="5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1"/>
      <c r="C976" s="5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1"/>
      <c r="C977" s="5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1"/>
      <c r="C978" s="5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1"/>
      <c r="C979" s="5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1"/>
      <c r="C980" s="5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1"/>
      <c r="C981" s="5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1"/>
      <c r="C982" s="5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1"/>
      <c r="C983" s="5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1"/>
      <c r="C984" s="5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1"/>
      <c r="C985" s="5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1"/>
      <c r="C986" s="5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1"/>
      <c r="C987" s="5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1"/>
      <c r="C988" s="5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1"/>
      <c r="C989" s="5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1"/>
      <c r="C990" s="5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1"/>
      <c r="C991" s="5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1"/>
      <c r="C992" s="5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1"/>
      <c r="C993" s="5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1"/>
      <c r="C994" s="5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1"/>
      <c r="C995" s="5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1"/>
      <c r="C996" s="5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1"/>
      <c r="C997" s="5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1"/>
      <c r="C998" s="5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1"/>
      <c r="C999" s="5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1"/>
      <c r="C1000" s="5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1:D1"/>
    <mergeCell ref="C3:D3"/>
  </mergeCells>
  <printOptions/>
  <pageMargins bottom="0.3" footer="0.0" header="0.0" left="0.7" right="0.7" top="0.3"/>
  <pageSetup paperSize="9" orientation="portrait"/>
  <drawing r:id="rId2"/>
  <legacyDrawing r:id="rId3"/>
</worksheet>
</file>